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arunendu_mscempl2025_learner_manipal_edu/Documents/"/>
    </mc:Choice>
  </mc:AlternateContent>
  <xr:revisionPtr revIDLastSave="428" documentId="8_{ECA44588-AA9B-4C77-BC90-05C7466D31C3}" xr6:coauthVersionLast="47" xr6:coauthVersionMax="47" xr10:uidLastSave="{9A09A7A4-3030-4959-BEBC-1CE8DD315518}"/>
  <bookViews>
    <workbookView xWindow="-120" yWindow="-120" windowWidth="20730" windowHeight="11040" firstSheet="5" activeTab="5" xr2:uid="{C88B9932-12B4-47C7-AEE8-611860212CD9}"/>
  </bookViews>
  <sheets>
    <sheet name="Sheet 1" sheetId="1" r:id="rId1"/>
    <sheet name="Sheet 2" sheetId="2" r:id="rId2"/>
    <sheet name="Sheet 3" sheetId="3" r:id="rId3"/>
    <sheet name="Sheet5" sheetId="5" r:id="rId4"/>
    <sheet name=" ASSUMPTIONS AND CONCLUSION" sheetId="6" r:id="rId5"/>
    <sheet name="DDM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7" l="1"/>
  <c r="C32" i="7"/>
  <c r="G4" i="7"/>
  <c r="F4" i="7"/>
  <c r="E5" i="7"/>
  <c r="E6" i="7"/>
  <c r="E7" i="7"/>
  <c r="E8" i="7"/>
  <c r="E9" i="7"/>
  <c r="D5" i="7"/>
  <c r="D6" i="7"/>
  <c r="D7" i="7"/>
  <c r="D8" i="7"/>
  <c r="D9" i="7"/>
  <c r="C8" i="7"/>
  <c r="C7" i="7" s="1"/>
  <c r="C6" i="7" s="1"/>
  <c r="C5" i="7" s="1"/>
  <c r="C9" i="7"/>
  <c r="D11" i="7"/>
  <c r="D12" i="7"/>
  <c r="D13" i="7"/>
  <c r="D14" i="7"/>
  <c r="D15" i="7"/>
  <c r="D16" i="7"/>
  <c r="D17" i="7"/>
  <c r="D18" i="7"/>
  <c r="D19" i="7"/>
  <c r="D20" i="7"/>
  <c r="D10" i="7"/>
  <c r="C27" i="7" s="1"/>
  <c r="C2" i="5"/>
  <c r="C31" i="5"/>
  <c r="D31" i="5"/>
  <c r="E31" i="5"/>
  <c r="F31" i="5"/>
  <c r="B31" i="5"/>
  <c r="C30" i="5"/>
  <c r="D30" i="5"/>
  <c r="E30" i="5"/>
  <c r="F30" i="5"/>
  <c r="B30" i="5"/>
  <c r="C29" i="5"/>
  <c r="D29" i="5"/>
  <c r="E29" i="5"/>
  <c r="F29" i="5"/>
  <c r="B29" i="5"/>
  <c r="C28" i="5"/>
  <c r="D28" i="5"/>
  <c r="E28" i="5"/>
  <c r="F28" i="5"/>
  <c r="B28" i="5"/>
  <c r="C27" i="5"/>
  <c r="D27" i="5"/>
  <c r="E27" i="5"/>
  <c r="F27" i="5"/>
  <c r="B27" i="5"/>
  <c r="C23" i="5"/>
  <c r="D23" i="5"/>
  <c r="E23" i="5"/>
  <c r="F23" i="5"/>
  <c r="B23" i="5"/>
  <c r="C22" i="5"/>
  <c r="D22" i="5"/>
  <c r="E22" i="5"/>
  <c r="F22" i="5"/>
  <c r="B22" i="5"/>
  <c r="C21" i="5"/>
  <c r="D21" i="5"/>
  <c r="E21" i="5"/>
  <c r="F21" i="5"/>
  <c r="B21" i="5"/>
  <c r="C20" i="5"/>
  <c r="D20" i="5"/>
  <c r="E20" i="5"/>
  <c r="F20" i="5"/>
  <c r="B20" i="5"/>
  <c r="C19" i="5"/>
  <c r="D19" i="5"/>
  <c r="E19" i="5"/>
  <c r="F19" i="5"/>
  <c r="B19" i="5"/>
  <c r="C17" i="5"/>
  <c r="D17" i="5"/>
  <c r="E17" i="5"/>
  <c r="F17" i="5"/>
  <c r="B17" i="5"/>
  <c r="C14" i="5"/>
  <c r="D14" i="5"/>
  <c r="E14" i="5"/>
  <c r="F14" i="5"/>
  <c r="B14" i="5"/>
  <c r="C13" i="5"/>
  <c r="D13" i="5"/>
  <c r="E13" i="5"/>
  <c r="F13" i="5"/>
  <c r="B13" i="5"/>
  <c r="C10" i="5"/>
  <c r="D10" i="5"/>
  <c r="E10" i="5"/>
  <c r="F10" i="5"/>
  <c r="B10" i="5"/>
  <c r="C9" i="5"/>
  <c r="D9" i="5"/>
  <c r="E9" i="5"/>
  <c r="F9" i="5"/>
  <c r="B9" i="5"/>
  <c r="C8" i="5"/>
  <c r="D8" i="5"/>
  <c r="E8" i="5"/>
  <c r="F8" i="5"/>
  <c r="B8" i="5"/>
  <c r="C7" i="5"/>
  <c r="D7" i="5"/>
  <c r="E7" i="5"/>
  <c r="F7" i="5"/>
  <c r="B7" i="5"/>
  <c r="C6" i="5"/>
  <c r="D6" i="5"/>
  <c r="E6" i="5"/>
  <c r="F6" i="5"/>
  <c r="B6" i="5"/>
  <c r="C3" i="5"/>
  <c r="D3" i="5"/>
  <c r="E3" i="5"/>
  <c r="F3" i="5"/>
  <c r="B3" i="5"/>
  <c r="D2" i="5"/>
  <c r="E2" i="5"/>
  <c r="F2" i="5"/>
  <c r="B2" i="5"/>
</calcChain>
</file>

<file path=xl/sharedStrings.xml><?xml version="1.0" encoding="utf-8"?>
<sst xmlns="http://schemas.openxmlformats.org/spreadsheetml/2006/main" count="310" uniqueCount="204">
  <si>
    <t>Period Ending:</t>
  </si>
  <si>
    <t>Total Revenues</t>
  </si>
  <si>
    <t>Total Revenues Growth</t>
  </si>
  <si>
    <t>Cost Of Revenues</t>
  </si>
  <si>
    <t>Gross Profit</t>
  </si>
  <si>
    <t>Gross Profit Growth</t>
  </si>
  <si>
    <t>Gross Profit Margin %</t>
  </si>
  <si>
    <t>Other Operating Expenses, Total</t>
  </si>
  <si>
    <t>Other Operating Expenses, Total Growth</t>
  </si>
  <si>
    <t>R&amp;D Expenses</t>
  </si>
  <si>
    <t>-</t>
  </si>
  <si>
    <t>Selling General &amp; Admin Expenses</t>
  </si>
  <si>
    <t>Other Operating Expenses</t>
  </si>
  <si>
    <t>Operating Income</t>
  </si>
  <si>
    <t>Operating Income Growth</t>
  </si>
  <si>
    <t>EBIT Margin %</t>
  </si>
  <si>
    <t>Net Interest Expenses</t>
  </si>
  <si>
    <t>Net Interest Expenses Growth</t>
  </si>
  <si>
    <t>Interest Expense, Total</t>
  </si>
  <si>
    <t>Interest And Investment Income</t>
  </si>
  <si>
    <t>Other Non Operating Expenses, Total</t>
  </si>
  <si>
    <t>EBT, Excl. Unusual Items</t>
  </si>
  <si>
    <t>Gain (Loss) On Sale Of Assets</t>
  </si>
  <si>
    <t>Other Unusual Items, Total</t>
  </si>
  <si>
    <t>EBT, Incl. Unusual Items</t>
  </si>
  <si>
    <t>EBT, Incl. Unusual Items Growth</t>
  </si>
  <si>
    <t>EBT, Incl. Unusual Items Margin</t>
  </si>
  <si>
    <t>Income Tax Expense</t>
  </si>
  <si>
    <t>Net Income to Company</t>
  </si>
  <si>
    <t>Minority Interest</t>
  </si>
  <si>
    <t>Net Income</t>
  </si>
  <si>
    <t>Net Income Growth</t>
  </si>
  <si>
    <t>Net Income Margin %</t>
  </si>
  <si>
    <t>Preferred Dividend and Other Adjustments</t>
  </si>
  <si>
    <t>Net Income to Common Excl. Extra Items</t>
  </si>
  <si>
    <t>Basic EPS - Continuing Operations</t>
  </si>
  <si>
    <t>Basic EPS - Continuing Operations Growth</t>
  </si>
  <si>
    <t>Diluted EPS - Continuing Operations</t>
  </si>
  <si>
    <t>Diluted EPS - Continuing Operations Growth</t>
  </si>
  <si>
    <t>Basic Weighted Average Shares Outstanding</t>
  </si>
  <si>
    <t>Diluted Weighted Average Shares Outstanding</t>
  </si>
  <si>
    <t>Dividend Per Share</t>
  </si>
  <si>
    <t>Dividend Per Share Growth</t>
  </si>
  <si>
    <t>EBITDA</t>
  </si>
  <si>
    <t>EBITDA Growth</t>
  </si>
  <si>
    <t>EBITDA Margin %</t>
  </si>
  <si>
    <t>EBIT</t>
  </si>
  <si>
    <t>* In Millions of INR (except for per share items)</t>
  </si>
  <si>
    <t>Total Current Assets</t>
  </si>
  <si>
    <t>Cash And Equivalents</t>
  </si>
  <si>
    <t>Cash And Equivalents Growth</t>
  </si>
  <si>
    <t>Short Term Investments</t>
  </si>
  <si>
    <t>Total Receivables</t>
  </si>
  <si>
    <t>Accounts Receivable, Total</t>
  </si>
  <si>
    <t>Other Receivables</t>
  </si>
  <si>
    <t>Inventory</t>
  </si>
  <si>
    <t>Prepaid Expenses</t>
  </si>
  <si>
    <t>Finance Division Loans and Leases Current</t>
  </si>
  <si>
    <t>Finance Division Other Current Assets, Total</t>
  </si>
  <si>
    <t>Other Current Assets</t>
  </si>
  <si>
    <t>Restricted Cash</t>
  </si>
  <si>
    <t>Other Current Assets, Total</t>
  </si>
  <si>
    <t>Total Assets</t>
  </si>
  <si>
    <t>Total Assets Growth</t>
  </si>
  <si>
    <t>Net Property Plant And Equipment</t>
  </si>
  <si>
    <t>Gross Property Plant And Equipment</t>
  </si>
  <si>
    <t>Accumulated Depreciation</t>
  </si>
  <si>
    <t>Long-term Investments</t>
  </si>
  <si>
    <t>Intangible Assets</t>
  </si>
  <si>
    <t>Goodwill</t>
  </si>
  <si>
    <t>Other Intangibles, Total</t>
  </si>
  <si>
    <t>Finance Division Loans and Leases Long-Term</t>
  </si>
  <si>
    <t>Other Assets, Total</t>
  </si>
  <si>
    <t>Loans Receivable Long-Term</t>
  </si>
  <si>
    <t>Accounts Receivable Long-Term</t>
  </si>
  <si>
    <t>Deferred Tax Assets Long-Term</t>
  </si>
  <si>
    <t>Deferred Charges Long-Term</t>
  </si>
  <si>
    <t>Other Long-Term Assets, Total</t>
  </si>
  <si>
    <t>Total Current Liabilities</t>
  </si>
  <si>
    <t>Accounts Payable, Total</t>
  </si>
  <si>
    <t>Accrued Expenses, Total</t>
  </si>
  <si>
    <t>Short-term Borrowings</t>
  </si>
  <si>
    <t>Current Portion of Long-Term Debt / Leases</t>
  </si>
  <si>
    <t>Current Portion of Long-Term Debt</t>
  </si>
  <si>
    <t>Current Portion of Leases</t>
  </si>
  <si>
    <t>Other Current Liabilities, Total</t>
  </si>
  <si>
    <t>Current Income Taxes Payable</t>
  </si>
  <si>
    <t>Unearned Revenue Current, Total</t>
  </si>
  <si>
    <t>Other Current Liabilities</t>
  </si>
  <si>
    <t>Total Liabilities</t>
  </si>
  <si>
    <t>Total Liabilities Growth</t>
  </si>
  <si>
    <t>Long-Term Debt</t>
  </si>
  <si>
    <t>Long-Term Leases</t>
  </si>
  <si>
    <t>Other Liabilities, Total</t>
  </si>
  <si>
    <t>Unearned Revenue Non Current</t>
  </si>
  <si>
    <t>Pension &amp; Other Post Retirement Benefits</t>
  </si>
  <si>
    <t>Deferred Tax Liability Non Current</t>
  </si>
  <si>
    <t>Other Non Current Liabilities</t>
  </si>
  <si>
    <t>Total Equity</t>
  </si>
  <si>
    <t>Total Preferred Equity</t>
  </si>
  <si>
    <t>Preferred Stock Redeemable</t>
  </si>
  <si>
    <t>Preferred Stock Non Redeemable</t>
  </si>
  <si>
    <t>Preferred Stock Convertible</t>
  </si>
  <si>
    <t>Common Stock &amp; APIC</t>
  </si>
  <si>
    <t>Common Stock, Total</t>
  </si>
  <si>
    <t>Additional Paid In Capital</t>
  </si>
  <si>
    <t>Retained Earnings</t>
  </si>
  <si>
    <t>Treasury Stock &amp; Other</t>
  </si>
  <si>
    <t>Treasury Stock</t>
  </si>
  <si>
    <t>Comprehensive Income and Other</t>
  </si>
  <si>
    <t>Total Liabilities And Equity</t>
  </si>
  <si>
    <t>Total Debt</t>
  </si>
  <si>
    <t>Total Debt Growth</t>
  </si>
  <si>
    <t>Cash from Operations</t>
  </si>
  <si>
    <t>Cash from Operations Growth</t>
  </si>
  <si>
    <t>Depreciation &amp; Amortization, Total</t>
  </si>
  <si>
    <t>Amortization of Deferred Charges, Total</t>
  </si>
  <si>
    <t>Other Non-Cash Items, Total</t>
  </si>
  <si>
    <t>Change in Net Operating Assets</t>
  </si>
  <si>
    <t>Cash from Investing</t>
  </si>
  <si>
    <t>Cash from Investing Growth</t>
  </si>
  <si>
    <t>Capital Expenditure</t>
  </si>
  <si>
    <t>Sale of Property, Plant, and Equipment</t>
  </si>
  <si>
    <t>Cash Acquisitions</t>
  </si>
  <si>
    <t>Divestitures</t>
  </si>
  <si>
    <t>Other Investing Activities</t>
  </si>
  <si>
    <t>Cash from Financing</t>
  </si>
  <si>
    <t>Cash from Financing Growth</t>
  </si>
  <si>
    <t>Total Debt Issued</t>
  </si>
  <si>
    <t>Short Term Debt Issued, Total</t>
  </si>
  <si>
    <t>Long-Term Debt Issued, Total</t>
  </si>
  <si>
    <t>Total Debt Repaid</t>
  </si>
  <si>
    <t>Short Term Debt Repaid, Total</t>
  </si>
  <si>
    <t>Long-Term Debt Repaid, Total</t>
  </si>
  <si>
    <t>Issuance of Common Stock</t>
  </si>
  <si>
    <t>Repurchase of Common Stock</t>
  </si>
  <si>
    <t>Issuance of Preferred Stock</t>
  </si>
  <si>
    <t>Repurchase of Preferred Stock</t>
  </si>
  <si>
    <t>Common &amp; Preferred Stock Dividends Paid</t>
  </si>
  <si>
    <t>Special Dividend Paid</t>
  </si>
  <si>
    <t>Other Financing Activities</t>
  </si>
  <si>
    <t>Foreign Exchange Rate Adjustments</t>
  </si>
  <si>
    <t>Miscellaneous Cash Flow Adjustments</t>
  </si>
  <si>
    <t>Net Change in Cash</t>
  </si>
  <si>
    <t>Beginning Cash Balance</t>
  </si>
  <si>
    <t>Ending Cash Balance</t>
  </si>
  <si>
    <t>Levered Free Cash Flow</t>
  </si>
  <si>
    <t>Levered Free Cash Flow Growth</t>
  </si>
  <si>
    <t>Free Cash Flow Yield</t>
  </si>
  <si>
    <t>LIQUIDITY RATIOS</t>
  </si>
  <si>
    <t>current ratio</t>
  </si>
  <si>
    <t>liquidity ratio</t>
  </si>
  <si>
    <t>SOLVANCY RATIO</t>
  </si>
  <si>
    <t>Total Debt Ratio</t>
  </si>
  <si>
    <t>Long term debt ratio</t>
  </si>
  <si>
    <t>Long term debt to market cap</t>
  </si>
  <si>
    <t>Debt to equity</t>
  </si>
  <si>
    <t>Ltd to equity</t>
  </si>
  <si>
    <t>COVERAGE RATIO</t>
  </si>
  <si>
    <t>Times Interest Earned</t>
  </si>
  <si>
    <t>Cash coverage ratio</t>
  </si>
  <si>
    <t>EFFICIENCY RATIOS</t>
  </si>
  <si>
    <t>Invetory turnover</t>
  </si>
  <si>
    <t>Receivable turnover</t>
  </si>
  <si>
    <t>Credit purchase</t>
  </si>
  <si>
    <t>Fixed turnover ratio</t>
  </si>
  <si>
    <t>Total asset tornover</t>
  </si>
  <si>
    <t>Inventory days</t>
  </si>
  <si>
    <t>Payable days</t>
  </si>
  <si>
    <t>Receivables</t>
  </si>
  <si>
    <t>PROFITABILITY RATIOS</t>
  </si>
  <si>
    <t>Gross profit margin</t>
  </si>
  <si>
    <t>Operating profit margin</t>
  </si>
  <si>
    <t>Net profit margin</t>
  </si>
  <si>
    <t>Return on asset</t>
  </si>
  <si>
    <t>Return on equity</t>
  </si>
  <si>
    <t>ASSUMPTIONS</t>
  </si>
  <si>
    <t>The financial data provided for L&amp;T (2021–2025) is accurate and reliable.</t>
  </si>
  <si>
    <t>Ratios are calculated using standard financial formulas (e.g., Current Ratio = Current Assets / Current Liabilities).</t>
  </si>
  <si>
    <r>
      <t xml:space="preserve">Inflation, taxation, and external macroeconomic shocks are </t>
    </r>
    <r>
      <rPr>
        <b/>
        <sz val="11"/>
        <color theme="1"/>
        <rFont val="Times New Roman"/>
        <family val="1"/>
      </rPr>
      <t>not considered</t>
    </r>
    <r>
      <rPr>
        <sz val="11"/>
        <color theme="1"/>
        <rFont val="Times New Roman"/>
        <family val="1"/>
      </rPr>
      <t xml:space="preserve"> in ratio interpretation.</t>
    </r>
  </si>
  <si>
    <r>
      <t xml:space="preserve">The analysis assumes that </t>
    </r>
    <r>
      <rPr>
        <b/>
        <sz val="11"/>
        <color theme="1"/>
        <rFont val="Times New Roman"/>
        <family val="1"/>
      </rPr>
      <t>accounting policies and reporting standards</t>
    </r>
    <r>
      <rPr>
        <sz val="11"/>
        <color theme="1"/>
        <rFont val="Times New Roman"/>
        <family val="1"/>
      </rPr>
      <t xml:space="preserve"> remain consistent across years.</t>
    </r>
  </si>
  <si>
    <r>
      <t xml:space="preserve">Non-financial factors (like government policies, industry competition, geopolitical risks) are </t>
    </r>
    <r>
      <rPr>
        <b/>
        <sz val="11"/>
        <color theme="1"/>
        <rFont val="Times New Roman"/>
        <family val="1"/>
      </rPr>
      <t>not included</t>
    </r>
    <r>
      <rPr>
        <sz val="11"/>
        <color theme="1"/>
        <rFont val="Times New Roman"/>
        <family val="1"/>
      </rPr>
      <t xml:space="preserve"> in the ratio analysis.</t>
    </r>
  </si>
  <si>
    <t>Ratios are interpreted under the assumption that higher liquidity and lower leverage generally indicate financial strength.</t>
  </si>
  <si>
    <t>Any missing or inconsistent data points have been treated as negligible for overall analysis.</t>
  </si>
  <si>
    <t>CONCLUSION</t>
  </si>
  <si>
    <t>Revenue Growth: L&amp;T has shown strong revenue growth from 2021 to 2025, highlighting its expanding business operations.</t>
  </si>
  <si>
    <r>
      <t>Liquidity Position:</t>
    </r>
    <r>
      <rPr>
        <sz val="11"/>
        <color theme="1"/>
        <rFont val="Times New Roman"/>
        <family val="1"/>
      </rPr>
      <t xml:space="preserve"> The current ratio and quick ratio remain above 1 throughout, indicating that the company has enough short-term assets to cover its short-term liabilities, though the trend shows a slight </t>
    </r>
    <r>
      <rPr>
        <b/>
        <sz val="11"/>
        <color theme="1"/>
        <rFont val="Times New Roman"/>
        <family val="1"/>
      </rPr>
      <t>decline in liquidity over time</t>
    </r>
    <r>
      <rPr>
        <sz val="11"/>
        <color theme="1"/>
        <rFont val="Times New Roman"/>
        <family val="1"/>
      </rPr>
      <t>.</t>
    </r>
  </si>
  <si>
    <r>
      <t>Solvency:</t>
    </r>
    <r>
      <rPr>
        <sz val="11"/>
        <color theme="1"/>
        <rFont val="Times New Roman"/>
        <family val="1"/>
      </rPr>
      <t xml:space="preserve"> The debt ratio hovers around </t>
    </r>
    <r>
      <rPr>
        <b/>
        <sz val="11"/>
        <color theme="1"/>
        <rFont val="Times New Roman"/>
        <family val="1"/>
      </rPr>
      <t>0.70</t>
    </r>
    <r>
      <rPr>
        <sz val="11"/>
        <color theme="1"/>
        <rFont val="Times New Roman"/>
        <family val="1"/>
      </rPr>
      <t xml:space="preserve">, meaning about 70% of the company’s assets are financed by debt. This shows </t>
    </r>
    <r>
      <rPr>
        <b/>
        <sz val="11"/>
        <color theme="1"/>
        <rFont val="Times New Roman"/>
        <family val="1"/>
      </rPr>
      <t>moderate financial risk</t>
    </r>
    <r>
      <rPr>
        <sz val="11"/>
        <color theme="1"/>
        <rFont val="Times New Roman"/>
        <family val="1"/>
      </rPr>
      <t>, but still manageable given L&amp;T’s size and reputation.</t>
    </r>
  </si>
  <si>
    <r>
      <t>Profitability &amp; Cash Flow:</t>
    </r>
    <r>
      <rPr>
        <sz val="11"/>
        <color theme="1"/>
        <rFont val="Times New Roman"/>
        <family val="1"/>
      </rPr>
      <t xml:space="preserve"> Despite fluctuations, net income shows an </t>
    </r>
    <r>
      <rPr>
        <b/>
        <sz val="11"/>
        <color theme="1"/>
        <rFont val="Times New Roman"/>
        <family val="1"/>
      </rPr>
      <t>upward trend</t>
    </r>
    <r>
      <rPr>
        <sz val="11"/>
        <color theme="1"/>
        <rFont val="Times New Roman"/>
        <family val="1"/>
      </rPr>
      <t>, while cash from operations has declined in the latest year, suggesting a need for better working capital management.</t>
    </r>
  </si>
  <si>
    <r>
      <t>Overall:</t>
    </r>
    <r>
      <rPr>
        <sz val="11"/>
        <color theme="1"/>
        <rFont val="Times New Roman"/>
        <family val="1"/>
      </rPr>
      <t xml:space="preserve"> L&amp;T is financially strong, with consistent revenue growth and stable solvency. However, the company should monitor its liquidity and cash flow position to maintain operational efficiency.</t>
    </r>
  </si>
  <si>
    <t xml:space="preserve">DIVIDEND DISCOUNT MODEL </t>
  </si>
  <si>
    <t xml:space="preserve">Larsen &amp; Tubro </t>
  </si>
  <si>
    <t>Year</t>
  </si>
  <si>
    <t>Annual Dividend</t>
  </si>
  <si>
    <t>Growth</t>
  </si>
  <si>
    <t>Discounted Cash Flow</t>
  </si>
  <si>
    <t>Terminal Value</t>
  </si>
  <si>
    <t>Discounted Terminal Value</t>
  </si>
  <si>
    <t>Growth (g)</t>
  </si>
  <si>
    <t>Required Return (r)</t>
  </si>
  <si>
    <t xml:space="preserve">Actual Price </t>
  </si>
  <si>
    <t>DDM Price (A)</t>
  </si>
  <si>
    <t>Overvalued (or) Undervalued</t>
  </si>
  <si>
    <t>Note: Price = C4/(r -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</si>
</sst>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B616E"/>
      <name val="Segoe UI"/>
      <family val="2"/>
    </font>
    <font>
      <sz val="11"/>
      <color theme="1"/>
      <name val="Segoe UI"/>
      <family val="2"/>
    </font>
    <font>
      <sz val="11"/>
      <color rgb="FFD91400"/>
      <name val="Segoe UI"/>
      <family val="2"/>
    </font>
    <font>
      <sz val="11"/>
      <color rgb="FF007C32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</font>
    <font>
      <b/>
      <sz val="16"/>
      <color rgb="FF000000"/>
      <name val="Times New Roman"/>
    </font>
    <font>
      <sz val="16"/>
      <color rgb="FF000000"/>
      <name val="Times New Roman"/>
    </font>
    <font>
      <sz val="10"/>
      <color rgb="FF000000"/>
      <name val="Times New Roman"/>
    </font>
    <font>
      <sz val="10"/>
      <color rgb="FF9C0006"/>
      <name val="Times New Roman"/>
    </font>
    <font>
      <sz val="11"/>
      <color rgb="FF000000"/>
      <name val="Aptos Narrow"/>
      <family val="2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62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D9DCDF"/>
      </bottom>
      <diagonal/>
    </border>
    <border>
      <left/>
      <right/>
      <top style="medium">
        <color rgb="FFD9DCD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6">
    <xf numFmtId="0" fontId="0" fillId="0" borderId="0" xfId="0"/>
    <xf numFmtId="16" fontId="2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/>
    </xf>
    <xf numFmtId="0" fontId="6" fillId="0" borderId="1" xfId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6" fillId="0" borderId="0" xfId="1" applyAlignment="1">
      <alignment horizontal="right" vertical="center"/>
    </xf>
    <xf numFmtId="10" fontId="5" fillId="0" borderId="0" xfId="0" applyNumberFormat="1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1"/>
    </xf>
    <xf numFmtId="0" fontId="2" fillId="0" borderId="0" xfId="0" applyFont="1" applyAlignment="1">
      <alignment vertical="center" wrapText="1"/>
    </xf>
    <xf numFmtId="16" fontId="2" fillId="0" borderId="1" xfId="0" applyNumberFormat="1" applyFont="1" applyBorder="1" applyAlignment="1">
      <alignment horizontal="right" wrapText="1"/>
    </xf>
    <xf numFmtId="0" fontId="6" fillId="0" borderId="1" xfId="1" applyBorder="1" applyAlignment="1">
      <alignment horizontal="right"/>
    </xf>
    <xf numFmtId="10" fontId="4" fillId="0" borderId="1" xfId="0" applyNumberFormat="1" applyFont="1" applyBorder="1" applyAlignment="1">
      <alignment horizontal="right" readingOrder="1"/>
    </xf>
    <xf numFmtId="10" fontId="5" fillId="0" borderId="1" xfId="0" applyNumberFormat="1" applyFont="1" applyBorder="1" applyAlignment="1">
      <alignment horizontal="right" readingOrder="1"/>
    </xf>
    <xf numFmtId="4" fontId="3" fillId="0" borderId="1" xfId="0" applyNumberFormat="1" applyFont="1" applyBorder="1" applyAlignment="1">
      <alignment horizontal="right" readingOrder="1"/>
    </xf>
    <xf numFmtId="10" fontId="3" fillId="0" borderId="1" xfId="0" applyNumberFormat="1" applyFont="1" applyBorder="1" applyAlignment="1">
      <alignment horizontal="right" readingOrder="1"/>
    </xf>
    <xf numFmtId="0" fontId="6" fillId="0" borderId="0" xfId="1" applyAlignment="1">
      <alignment horizontal="right"/>
    </xf>
    <xf numFmtId="10" fontId="5" fillId="0" borderId="0" xfId="0" applyNumberFormat="1" applyFont="1" applyAlignment="1">
      <alignment horizontal="right" readingOrder="1"/>
    </xf>
    <xf numFmtId="0" fontId="3" fillId="0" borderId="0" xfId="0" applyFont="1" applyAlignment="1">
      <alignment horizontal="right" readingOrder="1"/>
    </xf>
    <xf numFmtId="4" fontId="3" fillId="0" borderId="0" xfId="0" applyNumberFormat="1" applyFont="1" applyAlignment="1">
      <alignment horizontal="right" readingOrder="1"/>
    </xf>
    <xf numFmtId="9" fontId="4" fillId="0" borderId="1" xfId="0" applyNumberFormat="1" applyFont="1" applyBorder="1" applyAlignment="1">
      <alignment horizontal="right" readingOrder="1"/>
    </xf>
    <xf numFmtId="0" fontId="3" fillId="0" borderId="1" xfId="0" applyFont="1" applyBorder="1" applyAlignment="1">
      <alignment horizontal="right" readingOrder="1"/>
    </xf>
    <xf numFmtId="3" fontId="3" fillId="0" borderId="1" xfId="0" applyNumberFormat="1" applyFont="1" applyBorder="1" applyAlignment="1">
      <alignment horizontal="right" readingOrder="1"/>
    </xf>
    <xf numFmtId="3" fontId="3" fillId="0" borderId="0" xfId="0" applyNumberFormat="1" applyFont="1" applyAlignment="1">
      <alignment horizontal="right" vertical="center" readingOrder="1"/>
    </xf>
    <xf numFmtId="10" fontId="4" fillId="0" borderId="0" xfId="0" applyNumberFormat="1" applyFont="1" applyAlignment="1">
      <alignment horizontal="right" vertical="center" readingOrder="1"/>
    </xf>
    <xf numFmtId="10" fontId="3" fillId="0" borderId="0" xfId="0" applyNumberFormat="1" applyFont="1" applyAlignment="1">
      <alignment horizontal="right" vertical="center" readingOrder="1"/>
    </xf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9" fontId="3" fillId="0" borderId="1" xfId="0" applyNumberFormat="1" applyFont="1" applyBorder="1" applyAlignment="1">
      <alignment horizontal="right" readingOrder="1"/>
    </xf>
    <xf numFmtId="4" fontId="3" fillId="0" borderId="1" xfId="0" applyNumberFormat="1" applyFont="1" applyBorder="1" applyAlignment="1">
      <alignment horizontal="right" vertical="center" readingOrder="1"/>
    </xf>
    <xf numFmtId="3" fontId="3" fillId="0" borderId="1" xfId="0" applyNumberFormat="1" applyFont="1" applyBorder="1" applyAlignment="1">
      <alignment horizontal="right" vertical="center" readingOrder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3" xfId="0" applyFont="1" applyBorder="1"/>
    <xf numFmtId="0" fontId="12" fillId="0" borderId="4" xfId="0" applyFont="1" applyBorder="1"/>
    <xf numFmtId="0" fontId="13" fillId="0" borderId="5" xfId="0" applyFont="1" applyBorder="1"/>
    <xf numFmtId="0" fontId="13" fillId="0" borderId="5" xfId="0" quotePrefix="1" applyFont="1" applyBorder="1"/>
    <xf numFmtId="0" fontId="13" fillId="0" borderId="6" xfId="0" applyFont="1" applyBorder="1"/>
    <xf numFmtId="0" fontId="13" fillId="0" borderId="8" xfId="0" quotePrefix="1" applyFont="1" applyBorder="1"/>
    <xf numFmtId="15" fontId="14" fillId="0" borderId="5" xfId="0" applyNumberFormat="1" applyFont="1" applyBorder="1"/>
    <xf numFmtId="0" fontId="14" fillId="0" borderId="5" xfId="0" quotePrefix="1" applyFont="1" applyBorder="1"/>
    <xf numFmtId="0" fontId="14" fillId="0" borderId="5" xfId="0" applyFont="1" applyBorder="1"/>
    <xf numFmtId="0" fontId="14" fillId="0" borderId="11" xfId="0" applyFont="1" applyBorder="1"/>
    <xf numFmtId="0" fontId="14" fillId="0" borderId="7" xfId="0" applyFont="1" applyBorder="1"/>
    <xf numFmtId="0" fontId="14" fillId="0" borderId="13" xfId="0" applyFont="1" applyBorder="1"/>
    <xf numFmtId="0" fontId="14" fillId="0" borderId="9" xfId="0" applyFont="1" applyBorder="1"/>
    <xf numFmtId="10" fontId="14" fillId="0" borderId="10" xfId="0" applyNumberFormat="1" applyFont="1" applyBorder="1"/>
    <xf numFmtId="0" fontId="14" fillId="3" borderId="7" xfId="0" applyFont="1" applyFill="1" applyBorder="1"/>
    <xf numFmtId="0" fontId="15" fillId="4" borderId="7" xfId="0" applyFont="1" applyFill="1" applyBorder="1"/>
    <xf numFmtId="0" fontId="14" fillId="0" borderId="12" xfId="0" applyFont="1" applyBorder="1"/>
    <xf numFmtId="10" fontId="16" fillId="0" borderId="0" xfId="0" applyNumberFormat="1" applyFont="1"/>
    <xf numFmtId="0" fontId="3" fillId="2" borderId="0" xfId="0" applyFont="1" applyFill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2" fillId="0" borderId="0" xfId="0" applyFont="1" applyBorder="1"/>
    <xf numFmtId="0" fontId="12" fillId="0" borderId="5" xfId="0" applyFont="1" applyBorder="1"/>
    <xf numFmtId="0" fontId="12" fillId="0" borderId="6" xfId="0" applyFont="1" applyBorder="1"/>
    <xf numFmtId="0" fontId="17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vesting.com/pro/pricing?entry=income-statement" TargetMode="External"/><Relationship Id="rId21" Type="http://schemas.openxmlformats.org/officeDocument/2006/relationships/hyperlink" Target="https://www.investing.com/pro/pricing?entry=income-statement" TargetMode="External"/><Relationship Id="rId42" Type="http://schemas.openxmlformats.org/officeDocument/2006/relationships/hyperlink" Target="https://www.investing.com/pro/pricing?entry=income-statement" TargetMode="External"/><Relationship Id="rId63" Type="http://schemas.openxmlformats.org/officeDocument/2006/relationships/hyperlink" Target="https://www.investing.com/pro/pricing?entry=income-statement" TargetMode="External"/><Relationship Id="rId84" Type="http://schemas.openxmlformats.org/officeDocument/2006/relationships/hyperlink" Target="https://www.investing.com/pro/pricing?entry=income-statement" TargetMode="External"/><Relationship Id="rId138" Type="http://schemas.openxmlformats.org/officeDocument/2006/relationships/hyperlink" Target="https://www.investing.com/pro/pricing?entry=income-statement" TargetMode="External"/><Relationship Id="rId159" Type="http://schemas.openxmlformats.org/officeDocument/2006/relationships/hyperlink" Target="https://www.investing.com/pro/pricing?entry=income-statement" TargetMode="External"/><Relationship Id="rId170" Type="http://schemas.openxmlformats.org/officeDocument/2006/relationships/hyperlink" Target="https://www.investing.com/pro/pricing?entry=income-statement" TargetMode="External"/><Relationship Id="rId191" Type="http://schemas.openxmlformats.org/officeDocument/2006/relationships/hyperlink" Target="https://www.investing.com/pro/pricing?entry=income-statement" TargetMode="External"/><Relationship Id="rId205" Type="http://schemas.openxmlformats.org/officeDocument/2006/relationships/hyperlink" Target="https://www.investing.com/pro/pricing?entry=income-statement" TargetMode="External"/><Relationship Id="rId107" Type="http://schemas.openxmlformats.org/officeDocument/2006/relationships/hyperlink" Target="https://www.investing.com/pro/pricing?entry=income-statement" TargetMode="External"/><Relationship Id="rId11" Type="http://schemas.openxmlformats.org/officeDocument/2006/relationships/hyperlink" Target="https://www.investing.com/pro/pricing?entry=income-statement" TargetMode="External"/><Relationship Id="rId32" Type="http://schemas.openxmlformats.org/officeDocument/2006/relationships/hyperlink" Target="https://www.investing.com/pro/pricing?entry=income-statement" TargetMode="External"/><Relationship Id="rId53" Type="http://schemas.openxmlformats.org/officeDocument/2006/relationships/hyperlink" Target="https://www.investing.com/pro/pricing?entry=income-statement" TargetMode="External"/><Relationship Id="rId74" Type="http://schemas.openxmlformats.org/officeDocument/2006/relationships/hyperlink" Target="https://www.investing.com/pro/pricing?entry=income-statement" TargetMode="External"/><Relationship Id="rId128" Type="http://schemas.openxmlformats.org/officeDocument/2006/relationships/hyperlink" Target="https://www.investing.com/pro/pricing?entry=income-statement" TargetMode="External"/><Relationship Id="rId149" Type="http://schemas.openxmlformats.org/officeDocument/2006/relationships/hyperlink" Target="https://www.investing.com/pro/pricing?entry=income-statement" TargetMode="External"/><Relationship Id="rId5" Type="http://schemas.openxmlformats.org/officeDocument/2006/relationships/hyperlink" Target="https://www.investing.com/pro/pricing?entry=income-statement" TargetMode="External"/><Relationship Id="rId95" Type="http://schemas.openxmlformats.org/officeDocument/2006/relationships/hyperlink" Target="https://www.investing.com/pro/pricing?entry=income-statement" TargetMode="External"/><Relationship Id="rId160" Type="http://schemas.openxmlformats.org/officeDocument/2006/relationships/hyperlink" Target="https://www.investing.com/pro/pricing?entry=income-statement" TargetMode="External"/><Relationship Id="rId181" Type="http://schemas.openxmlformats.org/officeDocument/2006/relationships/hyperlink" Target="https://www.investing.com/pro/pricing?entry=income-statement" TargetMode="External"/><Relationship Id="rId216" Type="http://schemas.openxmlformats.org/officeDocument/2006/relationships/hyperlink" Target="https://www.investing.com/pro/pricing?entry=income-statement" TargetMode="External"/><Relationship Id="rId22" Type="http://schemas.openxmlformats.org/officeDocument/2006/relationships/hyperlink" Target="https://www.investing.com/pro/pricing?entry=income-statement" TargetMode="External"/><Relationship Id="rId43" Type="http://schemas.openxmlformats.org/officeDocument/2006/relationships/hyperlink" Target="https://www.investing.com/pro/pricing?entry=income-statement" TargetMode="External"/><Relationship Id="rId64" Type="http://schemas.openxmlformats.org/officeDocument/2006/relationships/hyperlink" Target="https://www.investing.com/pro/pricing?entry=income-statement" TargetMode="External"/><Relationship Id="rId118" Type="http://schemas.openxmlformats.org/officeDocument/2006/relationships/hyperlink" Target="https://www.investing.com/pro/pricing?entry=income-statement" TargetMode="External"/><Relationship Id="rId139" Type="http://schemas.openxmlformats.org/officeDocument/2006/relationships/hyperlink" Target="https://www.investing.com/pro/pricing?entry=income-statement" TargetMode="External"/><Relationship Id="rId85" Type="http://schemas.openxmlformats.org/officeDocument/2006/relationships/hyperlink" Target="https://www.investing.com/pro/pricing?entry=income-statement" TargetMode="External"/><Relationship Id="rId150" Type="http://schemas.openxmlformats.org/officeDocument/2006/relationships/hyperlink" Target="https://www.investing.com/pro/pricing?entry=income-statement" TargetMode="External"/><Relationship Id="rId171" Type="http://schemas.openxmlformats.org/officeDocument/2006/relationships/hyperlink" Target="https://www.investing.com/pro/pricing?entry=income-statement" TargetMode="External"/><Relationship Id="rId192" Type="http://schemas.openxmlformats.org/officeDocument/2006/relationships/hyperlink" Target="https://www.investing.com/pro/pricing?entry=income-statement" TargetMode="External"/><Relationship Id="rId206" Type="http://schemas.openxmlformats.org/officeDocument/2006/relationships/hyperlink" Target="https://www.investing.com/pro/pricing?entry=income-statement" TargetMode="External"/><Relationship Id="rId12" Type="http://schemas.openxmlformats.org/officeDocument/2006/relationships/hyperlink" Target="https://www.investing.com/pro/pricing?entry=income-statement" TargetMode="External"/><Relationship Id="rId33" Type="http://schemas.openxmlformats.org/officeDocument/2006/relationships/hyperlink" Target="https://www.investing.com/pro/pricing?entry=income-statement" TargetMode="External"/><Relationship Id="rId108" Type="http://schemas.openxmlformats.org/officeDocument/2006/relationships/hyperlink" Target="https://www.investing.com/pro/pricing?entry=income-statement" TargetMode="External"/><Relationship Id="rId129" Type="http://schemas.openxmlformats.org/officeDocument/2006/relationships/hyperlink" Target="https://www.investing.com/pro/pricing?entry=income-statement" TargetMode="External"/><Relationship Id="rId54" Type="http://schemas.openxmlformats.org/officeDocument/2006/relationships/hyperlink" Target="https://www.investing.com/pro/pricing?entry=income-statement" TargetMode="External"/><Relationship Id="rId75" Type="http://schemas.openxmlformats.org/officeDocument/2006/relationships/hyperlink" Target="https://www.investing.com/pro/pricing?entry=income-statement" TargetMode="External"/><Relationship Id="rId96" Type="http://schemas.openxmlformats.org/officeDocument/2006/relationships/hyperlink" Target="https://www.investing.com/pro/pricing?entry=income-statement" TargetMode="External"/><Relationship Id="rId140" Type="http://schemas.openxmlformats.org/officeDocument/2006/relationships/hyperlink" Target="https://www.investing.com/pro/pricing?entry=income-statement" TargetMode="External"/><Relationship Id="rId161" Type="http://schemas.openxmlformats.org/officeDocument/2006/relationships/hyperlink" Target="https://www.investing.com/pro/pricing?entry=income-statement" TargetMode="External"/><Relationship Id="rId182" Type="http://schemas.openxmlformats.org/officeDocument/2006/relationships/hyperlink" Target="https://www.investing.com/pro/pricing?entry=income-statement" TargetMode="External"/><Relationship Id="rId217" Type="http://schemas.openxmlformats.org/officeDocument/2006/relationships/hyperlink" Target="https://www.investing.com/pro/pricing?entry=income-statement" TargetMode="External"/><Relationship Id="rId6" Type="http://schemas.openxmlformats.org/officeDocument/2006/relationships/hyperlink" Target="https://www.investing.com/pro/pricing?entry=income-statement" TargetMode="External"/><Relationship Id="rId23" Type="http://schemas.openxmlformats.org/officeDocument/2006/relationships/hyperlink" Target="https://www.investing.com/pro/pricing?entry=income-statement" TargetMode="External"/><Relationship Id="rId119" Type="http://schemas.openxmlformats.org/officeDocument/2006/relationships/hyperlink" Target="https://www.investing.com/pro/pricing?entry=income-statement" TargetMode="External"/><Relationship Id="rId44" Type="http://schemas.openxmlformats.org/officeDocument/2006/relationships/hyperlink" Target="https://www.investing.com/pro/pricing?entry=income-statement" TargetMode="External"/><Relationship Id="rId65" Type="http://schemas.openxmlformats.org/officeDocument/2006/relationships/hyperlink" Target="https://www.investing.com/pro/pricing?entry=income-statement" TargetMode="External"/><Relationship Id="rId86" Type="http://schemas.openxmlformats.org/officeDocument/2006/relationships/hyperlink" Target="https://www.investing.com/pro/pricing?entry=income-statement" TargetMode="External"/><Relationship Id="rId130" Type="http://schemas.openxmlformats.org/officeDocument/2006/relationships/hyperlink" Target="https://www.investing.com/pro/pricing?entry=income-statement" TargetMode="External"/><Relationship Id="rId151" Type="http://schemas.openxmlformats.org/officeDocument/2006/relationships/hyperlink" Target="https://www.investing.com/pro/pricing?entry=income-statement" TargetMode="External"/><Relationship Id="rId172" Type="http://schemas.openxmlformats.org/officeDocument/2006/relationships/hyperlink" Target="https://www.investing.com/pro/pricing?entry=income-statement" TargetMode="External"/><Relationship Id="rId193" Type="http://schemas.openxmlformats.org/officeDocument/2006/relationships/hyperlink" Target="https://www.investing.com/pro/pricing?entry=income-statement" TargetMode="External"/><Relationship Id="rId207" Type="http://schemas.openxmlformats.org/officeDocument/2006/relationships/hyperlink" Target="https://www.investing.com/pro/pricing?entry=income-statement" TargetMode="External"/><Relationship Id="rId13" Type="http://schemas.openxmlformats.org/officeDocument/2006/relationships/hyperlink" Target="https://www.investing.com/pro/pricing?entry=income-statement" TargetMode="External"/><Relationship Id="rId109" Type="http://schemas.openxmlformats.org/officeDocument/2006/relationships/hyperlink" Target="https://www.investing.com/pro/pricing?entry=income-statement" TargetMode="External"/><Relationship Id="rId34" Type="http://schemas.openxmlformats.org/officeDocument/2006/relationships/hyperlink" Target="https://www.investing.com/pro/pricing?entry=income-statement" TargetMode="External"/><Relationship Id="rId55" Type="http://schemas.openxmlformats.org/officeDocument/2006/relationships/hyperlink" Target="https://www.investing.com/pro/pricing?entry=income-statement" TargetMode="External"/><Relationship Id="rId76" Type="http://schemas.openxmlformats.org/officeDocument/2006/relationships/hyperlink" Target="https://www.investing.com/pro/pricing?entry=income-statement" TargetMode="External"/><Relationship Id="rId97" Type="http://schemas.openxmlformats.org/officeDocument/2006/relationships/hyperlink" Target="https://www.investing.com/pro/pricing?entry=income-statement" TargetMode="External"/><Relationship Id="rId120" Type="http://schemas.openxmlformats.org/officeDocument/2006/relationships/hyperlink" Target="https://www.investing.com/pro/pricing?entry=income-statement" TargetMode="External"/><Relationship Id="rId141" Type="http://schemas.openxmlformats.org/officeDocument/2006/relationships/hyperlink" Target="https://www.investing.com/pro/pricing?entry=income-statement" TargetMode="External"/><Relationship Id="rId7" Type="http://schemas.openxmlformats.org/officeDocument/2006/relationships/hyperlink" Target="https://www.investing.com/pro/pricing?entry=income-statement" TargetMode="External"/><Relationship Id="rId162" Type="http://schemas.openxmlformats.org/officeDocument/2006/relationships/hyperlink" Target="https://www.investing.com/pro/pricing?entry=income-statement" TargetMode="External"/><Relationship Id="rId183" Type="http://schemas.openxmlformats.org/officeDocument/2006/relationships/hyperlink" Target="https://www.investing.com/pro/pricing?entry=income-statement" TargetMode="External"/><Relationship Id="rId218" Type="http://schemas.openxmlformats.org/officeDocument/2006/relationships/hyperlink" Target="https://www.investing.com/pro/pricing?entry=income-statement" TargetMode="External"/><Relationship Id="rId24" Type="http://schemas.openxmlformats.org/officeDocument/2006/relationships/hyperlink" Target="https://www.investing.com/pro/pricing?entry=income-statement" TargetMode="External"/><Relationship Id="rId45" Type="http://schemas.openxmlformats.org/officeDocument/2006/relationships/hyperlink" Target="https://www.investing.com/pro/pricing?entry=income-statement" TargetMode="External"/><Relationship Id="rId66" Type="http://schemas.openxmlformats.org/officeDocument/2006/relationships/hyperlink" Target="https://www.investing.com/pro/pricing?entry=income-statement" TargetMode="External"/><Relationship Id="rId87" Type="http://schemas.openxmlformats.org/officeDocument/2006/relationships/hyperlink" Target="https://www.investing.com/pro/pricing?entry=income-statement" TargetMode="External"/><Relationship Id="rId110" Type="http://schemas.openxmlformats.org/officeDocument/2006/relationships/hyperlink" Target="https://www.investing.com/pro/pricing?entry=income-statement" TargetMode="External"/><Relationship Id="rId131" Type="http://schemas.openxmlformats.org/officeDocument/2006/relationships/hyperlink" Target="https://www.investing.com/pro/pricing?entry=income-statement" TargetMode="External"/><Relationship Id="rId152" Type="http://schemas.openxmlformats.org/officeDocument/2006/relationships/hyperlink" Target="https://www.investing.com/pro/pricing?entry=income-statement" TargetMode="External"/><Relationship Id="rId173" Type="http://schemas.openxmlformats.org/officeDocument/2006/relationships/hyperlink" Target="https://www.investing.com/pro/pricing?entry=income-statement" TargetMode="External"/><Relationship Id="rId194" Type="http://schemas.openxmlformats.org/officeDocument/2006/relationships/hyperlink" Target="https://www.investing.com/pro/pricing?entry=income-statement" TargetMode="External"/><Relationship Id="rId208" Type="http://schemas.openxmlformats.org/officeDocument/2006/relationships/hyperlink" Target="https://www.investing.com/pro/pricing?entry=income-statement" TargetMode="External"/><Relationship Id="rId14" Type="http://schemas.openxmlformats.org/officeDocument/2006/relationships/hyperlink" Target="https://www.investing.com/pro/pricing?entry=income-statement" TargetMode="External"/><Relationship Id="rId35" Type="http://schemas.openxmlformats.org/officeDocument/2006/relationships/hyperlink" Target="https://www.investing.com/pro/pricing?entry=income-statement" TargetMode="External"/><Relationship Id="rId56" Type="http://schemas.openxmlformats.org/officeDocument/2006/relationships/hyperlink" Target="https://www.investing.com/pro/pricing?entry=income-statement" TargetMode="External"/><Relationship Id="rId77" Type="http://schemas.openxmlformats.org/officeDocument/2006/relationships/hyperlink" Target="https://www.investing.com/pro/pricing?entry=income-statement" TargetMode="External"/><Relationship Id="rId100" Type="http://schemas.openxmlformats.org/officeDocument/2006/relationships/hyperlink" Target="https://www.investing.com/pro/pricing?entry=income-statement" TargetMode="External"/><Relationship Id="rId8" Type="http://schemas.openxmlformats.org/officeDocument/2006/relationships/hyperlink" Target="https://www.investing.com/pro/pricing?entry=income-statement" TargetMode="External"/><Relationship Id="rId98" Type="http://schemas.openxmlformats.org/officeDocument/2006/relationships/hyperlink" Target="https://www.investing.com/pro/pricing?entry=income-statement" TargetMode="External"/><Relationship Id="rId121" Type="http://schemas.openxmlformats.org/officeDocument/2006/relationships/hyperlink" Target="https://www.investing.com/pro/pricing?entry=income-statement" TargetMode="External"/><Relationship Id="rId142" Type="http://schemas.openxmlformats.org/officeDocument/2006/relationships/hyperlink" Target="https://www.investing.com/pro/pricing?entry=income-statement" TargetMode="External"/><Relationship Id="rId163" Type="http://schemas.openxmlformats.org/officeDocument/2006/relationships/hyperlink" Target="https://www.investing.com/pro/pricing?entry=income-statement" TargetMode="External"/><Relationship Id="rId184" Type="http://schemas.openxmlformats.org/officeDocument/2006/relationships/hyperlink" Target="https://www.investing.com/pro/pricing?entry=income-statement" TargetMode="External"/><Relationship Id="rId219" Type="http://schemas.openxmlformats.org/officeDocument/2006/relationships/hyperlink" Target="https://www.investing.com/pro/pricing?entry=income-statement" TargetMode="External"/><Relationship Id="rId3" Type="http://schemas.openxmlformats.org/officeDocument/2006/relationships/hyperlink" Target="https://www.investing.com/pro/pricing?entry=income-statement" TargetMode="External"/><Relationship Id="rId214" Type="http://schemas.openxmlformats.org/officeDocument/2006/relationships/hyperlink" Target="https://www.investing.com/pro/pricing?entry=income-statement" TargetMode="External"/><Relationship Id="rId25" Type="http://schemas.openxmlformats.org/officeDocument/2006/relationships/hyperlink" Target="https://www.investing.com/pro/pricing?entry=income-statement" TargetMode="External"/><Relationship Id="rId46" Type="http://schemas.openxmlformats.org/officeDocument/2006/relationships/hyperlink" Target="https://www.investing.com/pro/pricing?entry=income-statement" TargetMode="External"/><Relationship Id="rId67" Type="http://schemas.openxmlformats.org/officeDocument/2006/relationships/hyperlink" Target="https://www.investing.com/pro/pricing?entry=income-statement" TargetMode="External"/><Relationship Id="rId116" Type="http://schemas.openxmlformats.org/officeDocument/2006/relationships/hyperlink" Target="https://www.investing.com/pro/pricing?entry=income-statement" TargetMode="External"/><Relationship Id="rId137" Type="http://schemas.openxmlformats.org/officeDocument/2006/relationships/hyperlink" Target="https://www.investing.com/pro/pricing?entry=income-statement" TargetMode="External"/><Relationship Id="rId158" Type="http://schemas.openxmlformats.org/officeDocument/2006/relationships/hyperlink" Target="https://www.investing.com/pro/pricing?entry=income-statement" TargetMode="External"/><Relationship Id="rId20" Type="http://schemas.openxmlformats.org/officeDocument/2006/relationships/hyperlink" Target="https://www.investing.com/pro/pricing?entry=income-statement" TargetMode="External"/><Relationship Id="rId41" Type="http://schemas.openxmlformats.org/officeDocument/2006/relationships/hyperlink" Target="https://www.investing.com/pro/pricing?entry=income-statement" TargetMode="External"/><Relationship Id="rId62" Type="http://schemas.openxmlformats.org/officeDocument/2006/relationships/hyperlink" Target="https://www.investing.com/pro/pricing?entry=income-statement" TargetMode="External"/><Relationship Id="rId83" Type="http://schemas.openxmlformats.org/officeDocument/2006/relationships/hyperlink" Target="https://www.investing.com/pro/pricing?entry=income-statement" TargetMode="External"/><Relationship Id="rId88" Type="http://schemas.openxmlformats.org/officeDocument/2006/relationships/hyperlink" Target="https://www.investing.com/pro/pricing?entry=income-statement" TargetMode="External"/><Relationship Id="rId111" Type="http://schemas.openxmlformats.org/officeDocument/2006/relationships/hyperlink" Target="https://www.investing.com/pro/pricing?entry=income-statement" TargetMode="External"/><Relationship Id="rId132" Type="http://schemas.openxmlformats.org/officeDocument/2006/relationships/hyperlink" Target="https://www.investing.com/pro/pricing?entry=income-statement" TargetMode="External"/><Relationship Id="rId153" Type="http://schemas.openxmlformats.org/officeDocument/2006/relationships/hyperlink" Target="https://www.investing.com/pro/pricing?entry=income-statement" TargetMode="External"/><Relationship Id="rId174" Type="http://schemas.openxmlformats.org/officeDocument/2006/relationships/hyperlink" Target="https://www.investing.com/pro/pricing?entry=income-statement" TargetMode="External"/><Relationship Id="rId179" Type="http://schemas.openxmlformats.org/officeDocument/2006/relationships/hyperlink" Target="https://www.investing.com/pro/pricing?entry=income-statement" TargetMode="External"/><Relationship Id="rId195" Type="http://schemas.openxmlformats.org/officeDocument/2006/relationships/hyperlink" Target="https://www.investing.com/pro/pricing?entry=income-statement" TargetMode="External"/><Relationship Id="rId209" Type="http://schemas.openxmlformats.org/officeDocument/2006/relationships/hyperlink" Target="https://www.investing.com/pro/pricing?entry=income-statement" TargetMode="External"/><Relationship Id="rId190" Type="http://schemas.openxmlformats.org/officeDocument/2006/relationships/hyperlink" Target="https://www.investing.com/pro/pricing?entry=income-statement" TargetMode="External"/><Relationship Id="rId204" Type="http://schemas.openxmlformats.org/officeDocument/2006/relationships/hyperlink" Target="https://www.investing.com/pro/pricing?entry=income-statement" TargetMode="External"/><Relationship Id="rId220" Type="http://schemas.openxmlformats.org/officeDocument/2006/relationships/hyperlink" Target="https://www.investing.com/pro/pricing?entry=income-statement" TargetMode="External"/><Relationship Id="rId225" Type="http://schemas.openxmlformats.org/officeDocument/2006/relationships/hyperlink" Target="https://www.investing.com/pro/pricing?entry=income-statement" TargetMode="External"/><Relationship Id="rId15" Type="http://schemas.openxmlformats.org/officeDocument/2006/relationships/hyperlink" Target="https://www.investing.com/pro/pricing?entry=income-statement" TargetMode="External"/><Relationship Id="rId36" Type="http://schemas.openxmlformats.org/officeDocument/2006/relationships/hyperlink" Target="https://www.investing.com/pro/pricing?entry=income-statement" TargetMode="External"/><Relationship Id="rId57" Type="http://schemas.openxmlformats.org/officeDocument/2006/relationships/hyperlink" Target="https://www.investing.com/pro/pricing?entry=income-statement" TargetMode="External"/><Relationship Id="rId106" Type="http://schemas.openxmlformats.org/officeDocument/2006/relationships/hyperlink" Target="https://www.investing.com/pro/pricing?entry=income-statement" TargetMode="External"/><Relationship Id="rId127" Type="http://schemas.openxmlformats.org/officeDocument/2006/relationships/hyperlink" Target="https://www.investing.com/pro/pricing?entry=income-statement" TargetMode="External"/><Relationship Id="rId10" Type="http://schemas.openxmlformats.org/officeDocument/2006/relationships/hyperlink" Target="https://www.investing.com/pro/pricing?entry=income-statement" TargetMode="External"/><Relationship Id="rId31" Type="http://schemas.openxmlformats.org/officeDocument/2006/relationships/hyperlink" Target="https://www.investing.com/pro/pricing?entry=income-statement" TargetMode="External"/><Relationship Id="rId52" Type="http://schemas.openxmlformats.org/officeDocument/2006/relationships/hyperlink" Target="https://www.investing.com/pro/pricing?entry=income-statement" TargetMode="External"/><Relationship Id="rId73" Type="http://schemas.openxmlformats.org/officeDocument/2006/relationships/hyperlink" Target="https://www.investing.com/pro/pricing?entry=income-statement" TargetMode="External"/><Relationship Id="rId78" Type="http://schemas.openxmlformats.org/officeDocument/2006/relationships/hyperlink" Target="https://www.investing.com/pro/pricing?entry=income-statement" TargetMode="External"/><Relationship Id="rId94" Type="http://schemas.openxmlformats.org/officeDocument/2006/relationships/hyperlink" Target="https://www.investing.com/pro/pricing?entry=income-statement" TargetMode="External"/><Relationship Id="rId99" Type="http://schemas.openxmlformats.org/officeDocument/2006/relationships/hyperlink" Target="https://www.investing.com/pro/pricing?entry=income-statement" TargetMode="External"/><Relationship Id="rId101" Type="http://schemas.openxmlformats.org/officeDocument/2006/relationships/hyperlink" Target="https://www.investing.com/pro/pricing?entry=income-statement" TargetMode="External"/><Relationship Id="rId122" Type="http://schemas.openxmlformats.org/officeDocument/2006/relationships/hyperlink" Target="https://www.investing.com/pro/pricing?entry=income-statement" TargetMode="External"/><Relationship Id="rId143" Type="http://schemas.openxmlformats.org/officeDocument/2006/relationships/hyperlink" Target="https://www.investing.com/pro/pricing?entry=income-statement" TargetMode="External"/><Relationship Id="rId148" Type="http://schemas.openxmlformats.org/officeDocument/2006/relationships/hyperlink" Target="https://www.investing.com/pro/pricing?entry=income-statement" TargetMode="External"/><Relationship Id="rId164" Type="http://schemas.openxmlformats.org/officeDocument/2006/relationships/hyperlink" Target="https://www.investing.com/pro/pricing?entry=income-statement" TargetMode="External"/><Relationship Id="rId169" Type="http://schemas.openxmlformats.org/officeDocument/2006/relationships/hyperlink" Target="https://www.investing.com/pro/pricing?entry=income-statement" TargetMode="External"/><Relationship Id="rId185" Type="http://schemas.openxmlformats.org/officeDocument/2006/relationships/hyperlink" Target="https://www.investing.com/pro/pricing?entry=income-statement" TargetMode="External"/><Relationship Id="rId4" Type="http://schemas.openxmlformats.org/officeDocument/2006/relationships/hyperlink" Target="https://www.investing.com/pro/pricing?entry=income-statement" TargetMode="External"/><Relationship Id="rId9" Type="http://schemas.openxmlformats.org/officeDocument/2006/relationships/hyperlink" Target="https://www.investing.com/pro/pricing?entry=income-statement" TargetMode="External"/><Relationship Id="rId180" Type="http://schemas.openxmlformats.org/officeDocument/2006/relationships/hyperlink" Target="https://www.investing.com/pro/pricing?entry=income-statement" TargetMode="External"/><Relationship Id="rId210" Type="http://schemas.openxmlformats.org/officeDocument/2006/relationships/hyperlink" Target="https://www.investing.com/pro/pricing?entry=income-statement" TargetMode="External"/><Relationship Id="rId215" Type="http://schemas.openxmlformats.org/officeDocument/2006/relationships/hyperlink" Target="https://www.investing.com/pro/pricing?entry=income-statement" TargetMode="External"/><Relationship Id="rId26" Type="http://schemas.openxmlformats.org/officeDocument/2006/relationships/hyperlink" Target="https://www.investing.com/pro/pricing?entry=income-statement" TargetMode="External"/><Relationship Id="rId47" Type="http://schemas.openxmlformats.org/officeDocument/2006/relationships/hyperlink" Target="https://www.investing.com/pro/pricing?entry=income-statement" TargetMode="External"/><Relationship Id="rId68" Type="http://schemas.openxmlformats.org/officeDocument/2006/relationships/hyperlink" Target="https://www.investing.com/pro/pricing?entry=income-statement" TargetMode="External"/><Relationship Id="rId89" Type="http://schemas.openxmlformats.org/officeDocument/2006/relationships/hyperlink" Target="https://www.investing.com/pro/pricing?entry=income-statement" TargetMode="External"/><Relationship Id="rId112" Type="http://schemas.openxmlformats.org/officeDocument/2006/relationships/hyperlink" Target="https://www.investing.com/pro/pricing?entry=income-statement" TargetMode="External"/><Relationship Id="rId133" Type="http://schemas.openxmlformats.org/officeDocument/2006/relationships/hyperlink" Target="https://www.investing.com/pro/pricing?entry=income-statement" TargetMode="External"/><Relationship Id="rId154" Type="http://schemas.openxmlformats.org/officeDocument/2006/relationships/hyperlink" Target="https://www.investing.com/pro/pricing?entry=income-statement" TargetMode="External"/><Relationship Id="rId175" Type="http://schemas.openxmlformats.org/officeDocument/2006/relationships/hyperlink" Target="https://www.investing.com/pro/pricing?entry=income-statement" TargetMode="External"/><Relationship Id="rId196" Type="http://schemas.openxmlformats.org/officeDocument/2006/relationships/hyperlink" Target="https://www.investing.com/pro/pricing?entry=income-statement" TargetMode="External"/><Relationship Id="rId200" Type="http://schemas.openxmlformats.org/officeDocument/2006/relationships/hyperlink" Target="https://www.investing.com/pro/pricing?entry=income-statement" TargetMode="External"/><Relationship Id="rId16" Type="http://schemas.openxmlformats.org/officeDocument/2006/relationships/hyperlink" Target="https://www.investing.com/pro/pricing?entry=income-statement" TargetMode="External"/><Relationship Id="rId221" Type="http://schemas.openxmlformats.org/officeDocument/2006/relationships/hyperlink" Target="https://www.investing.com/pro/pricing?entry=income-statement" TargetMode="External"/><Relationship Id="rId37" Type="http://schemas.openxmlformats.org/officeDocument/2006/relationships/hyperlink" Target="https://www.investing.com/pro/pricing?entry=income-statement" TargetMode="External"/><Relationship Id="rId58" Type="http://schemas.openxmlformats.org/officeDocument/2006/relationships/hyperlink" Target="https://www.investing.com/pro/pricing?entry=income-statement" TargetMode="External"/><Relationship Id="rId79" Type="http://schemas.openxmlformats.org/officeDocument/2006/relationships/hyperlink" Target="https://www.investing.com/pro/pricing?entry=income-statement" TargetMode="External"/><Relationship Id="rId102" Type="http://schemas.openxmlformats.org/officeDocument/2006/relationships/hyperlink" Target="https://www.investing.com/pro/pricing?entry=income-statement" TargetMode="External"/><Relationship Id="rId123" Type="http://schemas.openxmlformats.org/officeDocument/2006/relationships/hyperlink" Target="https://www.investing.com/pro/pricing?entry=income-statement" TargetMode="External"/><Relationship Id="rId144" Type="http://schemas.openxmlformats.org/officeDocument/2006/relationships/hyperlink" Target="https://www.investing.com/pro/pricing?entry=income-statement" TargetMode="External"/><Relationship Id="rId90" Type="http://schemas.openxmlformats.org/officeDocument/2006/relationships/hyperlink" Target="https://www.investing.com/pro/pricing?entry=income-statement" TargetMode="External"/><Relationship Id="rId165" Type="http://schemas.openxmlformats.org/officeDocument/2006/relationships/hyperlink" Target="https://www.investing.com/pro/pricing?entry=income-statement" TargetMode="External"/><Relationship Id="rId186" Type="http://schemas.openxmlformats.org/officeDocument/2006/relationships/hyperlink" Target="https://www.investing.com/pro/pricing?entry=income-statement" TargetMode="External"/><Relationship Id="rId211" Type="http://schemas.openxmlformats.org/officeDocument/2006/relationships/hyperlink" Target="https://www.investing.com/pro/pricing?entry=income-statement" TargetMode="External"/><Relationship Id="rId27" Type="http://schemas.openxmlformats.org/officeDocument/2006/relationships/hyperlink" Target="https://www.investing.com/pro/pricing?entry=income-statement" TargetMode="External"/><Relationship Id="rId48" Type="http://schemas.openxmlformats.org/officeDocument/2006/relationships/hyperlink" Target="https://www.investing.com/pro/pricing?entry=income-statement" TargetMode="External"/><Relationship Id="rId69" Type="http://schemas.openxmlformats.org/officeDocument/2006/relationships/hyperlink" Target="https://www.investing.com/pro/pricing?entry=income-statement" TargetMode="External"/><Relationship Id="rId113" Type="http://schemas.openxmlformats.org/officeDocument/2006/relationships/hyperlink" Target="https://www.investing.com/pro/pricing?entry=income-statement" TargetMode="External"/><Relationship Id="rId134" Type="http://schemas.openxmlformats.org/officeDocument/2006/relationships/hyperlink" Target="https://www.investing.com/pro/pricing?entry=income-statement" TargetMode="External"/><Relationship Id="rId80" Type="http://schemas.openxmlformats.org/officeDocument/2006/relationships/hyperlink" Target="https://www.investing.com/pro/pricing?entry=income-statement" TargetMode="External"/><Relationship Id="rId155" Type="http://schemas.openxmlformats.org/officeDocument/2006/relationships/hyperlink" Target="https://www.investing.com/pro/pricing?entry=income-statement" TargetMode="External"/><Relationship Id="rId176" Type="http://schemas.openxmlformats.org/officeDocument/2006/relationships/hyperlink" Target="https://www.investing.com/pro/pricing?entry=income-statement" TargetMode="External"/><Relationship Id="rId197" Type="http://schemas.openxmlformats.org/officeDocument/2006/relationships/hyperlink" Target="https://www.investing.com/pro/pricing?entry=income-statement" TargetMode="External"/><Relationship Id="rId201" Type="http://schemas.openxmlformats.org/officeDocument/2006/relationships/hyperlink" Target="https://www.investing.com/pro/pricing?entry=income-statement" TargetMode="External"/><Relationship Id="rId222" Type="http://schemas.openxmlformats.org/officeDocument/2006/relationships/hyperlink" Target="https://www.investing.com/pro/pricing?entry=income-statement" TargetMode="External"/><Relationship Id="rId17" Type="http://schemas.openxmlformats.org/officeDocument/2006/relationships/hyperlink" Target="https://www.investing.com/pro/pricing?entry=income-statement" TargetMode="External"/><Relationship Id="rId38" Type="http://schemas.openxmlformats.org/officeDocument/2006/relationships/hyperlink" Target="https://www.investing.com/pro/pricing?entry=income-statement" TargetMode="External"/><Relationship Id="rId59" Type="http://schemas.openxmlformats.org/officeDocument/2006/relationships/hyperlink" Target="https://www.investing.com/pro/pricing?entry=income-statement" TargetMode="External"/><Relationship Id="rId103" Type="http://schemas.openxmlformats.org/officeDocument/2006/relationships/hyperlink" Target="https://www.investing.com/pro/pricing?entry=income-statement" TargetMode="External"/><Relationship Id="rId124" Type="http://schemas.openxmlformats.org/officeDocument/2006/relationships/hyperlink" Target="https://www.investing.com/pro/pricing?entry=income-statement" TargetMode="External"/><Relationship Id="rId70" Type="http://schemas.openxmlformats.org/officeDocument/2006/relationships/hyperlink" Target="https://www.investing.com/pro/pricing?entry=income-statement" TargetMode="External"/><Relationship Id="rId91" Type="http://schemas.openxmlformats.org/officeDocument/2006/relationships/hyperlink" Target="https://www.investing.com/pro/pricing?entry=income-statement" TargetMode="External"/><Relationship Id="rId145" Type="http://schemas.openxmlformats.org/officeDocument/2006/relationships/hyperlink" Target="https://www.investing.com/pro/pricing?entry=income-statement" TargetMode="External"/><Relationship Id="rId166" Type="http://schemas.openxmlformats.org/officeDocument/2006/relationships/hyperlink" Target="https://www.investing.com/pro/pricing?entry=income-statement" TargetMode="External"/><Relationship Id="rId187" Type="http://schemas.openxmlformats.org/officeDocument/2006/relationships/hyperlink" Target="https://www.investing.com/pro/pricing?entry=income-statement" TargetMode="External"/><Relationship Id="rId1" Type="http://schemas.openxmlformats.org/officeDocument/2006/relationships/hyperlink" Target="https://www.investing.com/pro/pricing?entry=income-statement" TargetMode="External"/><Relationship Id="rId212" Type="http://schemas.openxmlformats.org/officeDocument/2006/relationships/hyperlink" Target="https://www.investing.com/pro/pricing?entry=income-statement" TargetMode="External"/><Relationship Id="rId28" Type="http://schemas.openxmlformats.org/officeDocument/2006/relationships/hyperlink" Target="https://www.investing.com/pro/pricing?entry=income-statement" TargetMode="External"/><Relationship Id="rId49" Type="http://schemas.openxmlformats.org/officeDocument/2006/relationships/hyperlink" Target="https://www.investing.com/pro/pricing?entry=income-statement" TargetMode="External"/><Relationship Id="rId114" Type="http://schemas.openxmlformats.org/officeDocument/2006/relationships/hyperlink" Target="https://www.investing.com/pro/pricing?entry=income-statement" TargetMode="External"/><Relationship Id="rId60" Type="http://schemas.openxmlformats.org/officeDocument/2006/relationships/hyperlink" Target="https://www.investing.com/pro/pricing?entry=income-statement" TargetMode="External"/><Relationship Id="rId81" Type="http://schemas.openxmlformats.org/officeDocument/2006/relationships/hyperlink" Target="https://www.investing.com/pro/pricing?entry=income-statement" TargetMode="External"/><Relationship Id="rId135" Type="http://schemas.openxmlformats.org/officeDocument/2006/relationships/hyperlink" Target="https://www.investing.com/pro/pricing?entry=income-statement" TargetMode="External"/><Relationship Id="rId156" Type="http://schemas.openxmlformats.org/officeDocument/2006/relationships/hyperlink" Target="https://www.investing.com/pro/pricing?entry=income-statement" TargetMode="External"/><Relationship Id="rId177" Type="http://schemas.openxmlformats.org/officeDocument/2006/relationships/hyperlink" Target="https://www.investing.com/pro/pricing?entry=income-statement" TargetMode="External"/><Relationship Id="rId198" Type="http://schemas.openxmlformats.org/officeDocument/2006/relationships/hyperlink" Target="https://www.investing.com/pro/pricing?entry=income-statement" TargetMode="External"/><Relationship Id="rId202" Type="http://schemas.openxmlformats.org/officeDocument/2006/relationships/hyperlink" Target="https://www.investing.com/pro/pricing?entry=income-statement" TargetMode="External"/><Relationship Id="rId223" Type="http://schemas.openxmlformats.org/officeDocument/2006/relationships/hyperlink" Target="https://www.investing.com/pro/pricing?entry=income-statement" TargetMode="External"/><Relationship Id="rId18" Type="http://schemas.openxmlformats.org/officeDocument/2006/relationships/hyperlink" Target="https://www.investing.com/pro/pricing?entry=income-statement" TargetMode="External"/><Relationship Id="rId39" Type="http://schemas.openxmlformats.org/officeDocument/2006/relationships/hyperlink" Target="https://www.investing.com/pro/pricing?entry=income-statement" TargetMode="External"/><Relationship Id="rId50" Type="http://schemas.openxmlformats.org/officeDocument/2006/relationships/hyperlink" Target="https://www.investing.com/pro/pricing?entry=income-statement" TargetMode="External"/><Relationship Id="rId104" Type="http://schemas.openxmlformats.org/officeDocument/2006/relationships/hyperlink" Target="https://www.investing.com/pro/pricing?entry=income-statement" TargetMode="External"/><Relationship Id="rId125" Type="http://schemas.openxmlformats.org/officeDocument/2006/relationships/hyperlink" Target="https://www.investing.com/pro/pricing?entry=income-statement" TargetMode="External"/><Relationship Id="rId146" Type="http://schemas.openxmlformats.org/officeDocument/2006/relationships/hyperlink" Target="https://www.investing.com/pro/pricing?entry=income-statement" TargetMode="External"/><Relationship Id="rId167" Type="http://schemas.openxmlformats.org/officeDocument/2006/relationships/hyperlink" Target="https://www.investing.com/pro/pricing?entry=income-statement" TargetMode="External"/><Relationship Id="rId188" Type="http://schemas.openxmlformats.org/officeDocument/2006/relationships/hyperlink" Target="https://www.investing.com/pro/pricing?entry=income-statement" TargetMode="External"/><Relationship Id="rId71" Type="http://schemas.openxmlformats.org/officeDocument/2006/relationships/hyperlink" Target="https://www.investing.com/pro/pricing?entry=income-statement" TargetMode="External"/><Relationship Id="rId92" Type="http://schemas.openxmlformats.org/officeDocument/2006/relationships/hyperlink" Target="https://www.investing.com/pro/pricing?entry=income-statement" TargetMode="External"/><Relationship Id="rId213" Type="http://schemas.openxmlformats.org/officeDocument/2006/relationships/hyperlink" Target="https://www.investing.com/pro/pricing?entry=income-statement" TargetMode="External"/><Relationship Id="rId2" Type="http://schemas.openxmlformats.org/officeDocument/2006/relationships/hyperlink" Target="https://www.investing.com/pro/pricing?entry=income-statement" TargetMode="External"/><Relationship Id="rId29" Type="http://schemas.openxmlformats.org/officeDocument/2006/relationships/hyperlink" Target="https://www.investing.com/pro/pricing?entry=income-statement" TargetMode="External"/><Relationship Id="rId40" Type="http://schemas.openxmlformats.org/officeDocument/2006/relationships/hyperlink" Target="https://www.investing.com/pro/pricing?entry=income-statement" TargetMode="External"/><Relationship Id="rId115" Type="http://schemas.openxmlformats.org/officeDocument/2006/relationships/hyperlink" Target="https://www.investing.com/pro/pricing?entry=income-statement" TargetMode="External"/><Relationship Id="rId136" Type="http://schemas.openxmlformats.org/officeDocument/2006/relationships/hyperlink" Target="https://www.investing.com/pro/pricing?entry=income-statement" TargetMode="External"/><Relationship Id="rId157" Type="http://schemas.openxmlformats.org/officeDocument/2006/relationships/hyperlink" Target="https://www.investing.com/pro/pricing?entry=income-statement" TargetMode="External"/><Relationship Id="rId178" Type="http://schemas.openxmlformats.org/officeDocument/2006/relationships/hyperlink" Target="https://www.investing.com/pro/pricing?entry=income-statement" TargetMode="External"/><Relationship Id="rId61" Type="http://schemas.openxmlformats.org/officeDocument/2006/relationships/hyperlink" Target="https://www.investing.com/pro/pricing?entry=income-statement" TargetMode="External"/><Relationship Id="rId82" Type="http://schemas.openxmlformats.org/officeDocument/2006/relationships/hyperlink" Target="https://www.investing.com/pro/pricing?entry=income-statement" TargetMode="External"/><Relationship Id="rId199" Type="http://schemas.openxmlformats.org/officeDocument/2006/relationships/hyperlink" Target="https://www.investing.com/pro/pricing?entry=income-statement" TargetMode="External"/><Relationship Id="rId203" Type="http://schemas.openxmlformats.org/officeDocument/2006/relationships/hyperlink" Target="https://www.investing.com/pro/pricing?entry=income-statement" TargetMode="External"/><Relationship Id="rId19" Type="http://schemas.openxmlformats.org/officeDocument/2006/relationships/hyperlink" Target="https://www.investing.com/pro/pricing?entry=income-statement" TargetMode="External"/><Relationship Id="rId224" Type="http://schemas.openxmlformats.org/officeDocument/2006/relationships/hyperlink" Target="https://www.investing.com/pro/pricing?entry=income-statement" TargetMode="External"/><Relationship Id="rId30" Type="http://schemas.openxmlformats.org/officeDocument/2006/relationships/hyperlink" Target="https://www.investing.com/pro/pricing?entry=income-statement" TargetMode="External"/><Relationship Id="rId105" Type="http://schemas.openxmlformats.org/officeDocument/2006/relationships/hyperlink" Target="https://www.investing.com/pro/pricing?entry=income-statement" TargetMode="External"/><Relationship Id="rId126" Type="http://schemas.openxmlformats.org/officeDocument/2006/relationships/hyperlink" Target="https://www.investing.com/pro/pricing?entry=income-statement" TargetMode="External"/><Relationship Id="rId147" Type="http://schemas.openxmlformats.org/officeDocument/2006/relationships/hyperlink" Target="https://www.investing.com/pro/pricing?entry=income-statement" TargetMode="External"/><Relationship Id="rId168" Type="http://schemas.openxmlformats.org/officeDocument/2006/relationships/hyperlink" Target="https://www.investing.com/pro/pricing?entry=income-statement" TargetMode="External"/><Relationship Id="rId51" Type="http://schemas.openxmlformats.org/officeDocument/2006/relationships/hyperlink" Target="https://www.investing.com/pro/pricing?entry=income-statement" TargetMode="External"/><Relationship Id="rId72" Type="http://schemas.openxmlformats.org/officeDocument/2006/relationships/hyperlink" Target="https://www.investing.com/pro/pricing?entry=income-statement" TargetMode="External"/><Relationship Id="rId93" Type="http://schemas.openxmlformats.org/officeDocument/2006/relationships/hyperlink" Target="https://www.investing.com/pro/pricing?entry=income-statement" TargetMode="External"/><Relationship Id="rId189" Type="http://schemas.openxmlformats.org/officeDocument/2006/relationships/hyperlink" Target="https://www.investing.com/pro/pricing?entry=income-statemen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vesting.com/pro/pricing?entry=balance-sheet" TargetMode="External"/><Relationship Id="rId299" Type="http://schemas.openxmlformats.org/officeDocument/2006/relationships/hyperlink" Target="https://www.investing.com/pro/pricing?entry=balance-sheet" TargetMode="External"/><Relationship Id="rId21" Type="http://schemas.openxmlformats.org/officeDocument/2006/relationships/hyperlink" Target="https://www.investing.com/pro/pricing?entry=balance-sheet" TargetMode="External"/><Relationship Id="rId63" Type="http://schemas.openxmlformats.org/officeDocument/2006/relationships/hyperlink" Target="https://www.investing.com/pro/pricing?entry=balance-sheet" TargetMode="External"/><Relationship Id="rId159" Type="http://schemas.openxmlformats.org/officeDocument/2006/relationships/hyperlink" Target="https://www.investing.com/pro/pricing?entry=balance-sheet" TargetMode="External"/><Relationship Id="rId324" Type="http://schemas.openxmlformats.org/officeDocument/2006/relationships/hyperlink" Target="https://www.investing.com/pro/pricing?entry=balance-sheet" TargetMode="External"/><Relationship Id="rId170" Type="http://schemas.openxmlformats.org/officeDocument/2006/relationships/hyperlink" Target="https://www.investing.com/pro/pricing?entry=balance-sheet" TargetMode="External"/><Relationship Id="rId226" Type="http://schemas.openxmlformats.org/officeDocument/2006/relationships/hyperlink" Target="https://www.investing.com/pro/pricing?entry=balance-sheet" TargetMode="External"/><Relationship Id="rId268" Type="http://schemas.openxmlformats.org/officeDocument/2006/relationships/hyperlink" Target="https://www.investing.com/pro/pricing?entry=balance-sheet" TargetMode="External"/><Relationship Id="rId32" Type="http://schemas.openxmlformats.org/officeDocument/2006/relationships/hyperlink" Target="https://www.investing.com/pro/pricing?entry=balance-sheet" TargetMode="External"/><Relationship Id="rId74" Type="http://schemas.openxmlformats.org/officeDocument/2006/relationships/hyperlink" Target="https://www.investing.com/pro/pricing?entry=balance-sheet" TargetMode="External"/><Relationship Id="rId128" Type="http://schemas.openxmlformats.org/officeDocument/2006/relationships/hyperlink" Target="https://www.investing.com/pro/pricing?entry=balance-sheet" TargetMode="External"/><Relationship Id="rId5" Type="http://schemas.openxmlformats.org/officeDocument/2006/relationships/hyperlink" Target="https://www.investing.com/pro/pricing?entry=balance-sheet" TargetMode="External"/><Relationship Id="rId181" Type="http://schemas.openxmlformats.org/officeDocument/2006/relationships/hyperlink" Target="https://www.investing.com/pro/pricing?entry=balance-sheet" TargetMode="External"/><Relationship Id="rId237" Type="http://schemas.openxmlformats.org/officeDocument/2006/relationships/hyperlink" Target="https://www.investing.com/pro/pricing?entry=balance-sheet" TargetMode="External"/><Relationship Id="rId279" Type="http://schemas.openxmlformats.org/officeDocument/2006/relationships/hyperlink" Target="https://www.investing.com/pro/pricing?entry=balance-sheet" TargetMode="External"/><Relationship Id="rId43" Type="http://schemas.openxmlformats.org/officeDocument/2006/relationships/hyperlink" Target="https://www.investing.com/pro/pricing?entry=balance-sheet" TargetMode="External"/><Relationship Id="rId139" Type="http://schemas.openxmlformats.org/officeDocument/2006/relationships/hyperlink" Target="https://www.investing.com/pro/pricing?entry=balance-sheet" TargetMode="External"/><Relationship Id="rId290" Type="http://schemas.openxmlformats.org/officeDocument/2006/relationships/hyperlink" Target="https://www.investing.com/pro/pricing?entry=balance-sheet" TargetMode="External"/><Relationship Id="rId304" Type="http://schemas.openxmlformats.org/officeDocument/2006/relationships/hyperlink" Target="https://www.investing.com/pro/pricing?entry=balance-sheet" TargetMode="External"/><Relationship Id="rId85" Type="http://schemas.openxmlformats.org/officeDocument/2006/relationships/hyperlink" Target="https://www.investing.com/pro/pricing?entry=balance-sheet" TargetMode="External"/><Relationship Id="rId150" Type="http://schemas.openxmlformats.org/officeDocument/2006/relationships/hyperlink" Target="https://www.investing.com/pro/pricing?entry=balance-sheet" TargetMode="External"/><Relationship Id="rId192" Type="http://schemas.openxmlformats.org/officeDocument/2006/relationships/hyperlink" Target="https://www.investing.com/pro/pricing?entry=balance-sheet" TargetMode="External"/><Relationship Id="rId206" Type="http://schemas.openxmlformats.org/officeDocument/2006/relationships/hyperlink" Target="https://www.investing.com/pro/pricing?entry=balance-sheet" TargetMode="External"/><Relationship Id="rId248" Type="http://schemas.openxmlformats.org/officeDocument/2006/relationships/hyperlink" Target="https://www.investing.com/pro/pricing?entry=balance-sheet" TargetMode="External"/><Relationship Id="rId12" Type="http://schemas.openxmlformats.org/officeDocument/2006/relationships/hyperlink" Target="https://www.investing.com/pro/pricing?entry=balance-sheet" TargetMode="External"/><Relationship Id="rId108" Type="http://schemas.openxmlformats.org/officeDocument/2006/relationships/hyperlink" Target="https://www.investing.com/pro/pricing?entry=balance-sheet" TargetMode="External"/><Relationship Id="rId315" Type="http://schemas.openxmlformats.org/officeDocument/2006/relationships/hyperlink" Target="https://www.investing.com/pro/pricing?entry=balance-sheet" TargetMode="External"/><Relationship Id="rId54" Type="http://schemas.openxmlformats.org/officeDocument/2006/relationships/hyperlink" Target="https://www.investing.com/pro/pricing?entry=balance-sheet" TargetMode="External"/><Relationship Id="rId96" Type="http://schemas.openxmlformats.org/officeDocument/2006/relationships/hyperlink" Target="https://www.investing.com/pro/pricing?entry=balance-sheet" TargetMode="External"/><Relationship Id="rId161" Type="http://schemas.openxmlformats.org/officeDocument/2006/relationships/hyperlink" Target="https://www.investing.com/pro/pricing?entry=balance-sheet" TargetMode="External"/><Relationship Id="rId217" Type="http://schemas.openxmlformats.org/officeDocument/2006/relationships/hyperlink" Target="https://www.investing.com/pro/pricing?entry=balance-sheet" TargetMode="External"/><Relationship Id="rId259" Type="http://schemas.openxmlformats.org/officeDocument/2006/relationships/hyperlink" Target="https://www.investing.com/pro/pricing?entry=balance-sheet" TargetMode="External"/><Relationship Id="rId23" Type="http://schemas.openxmlformats.org/officeDocument/2006/relationships/hyperlink" Target="https://www.investing.com/pro/pricing?entry=balance-sheet" TargetMode="External"/><Relationship Id="rId119" Type="http://schemas.openxmlformats.org/officeDocument/2006/relationships/hyperlink" Target="https://www.investing.com/pro/pricing?entry=balance-sheet" TargetMode="External"/><Relationship Id="rId270" Type="http://schemas.openxmlformats.org/officeDocument/2006/relationships/hyperlink" Target="https://www.investing.com/pro/pricing?entry=balance-sheet" TargetMode="External"/><Relationship Id="rId326" Type="http://schemas.openxmlformats.org/officeDocument/2006/relationships/hyperlink" Target="https://www.investing.com/pro/pricing?entry=balance-sheet" TargetMode="External"/><Relationship Id="rId65" Type="http://schemas.openxmlformats.org/officeDocument/2006/relationships/hyperlink" Target="https://www.investing.com/pro/pricing?entry=balance-sheet" TargetMode="External"/><Relationship Id="rId130" Type="http://schemas.openxmlformats.org/officeDocument/2006/relationships/hyperlink" Target="https://www.investing.com/pro/pricing?entry=balance-sheet" TargetMode="External"/><Relationship Id="rId172" Type="http://schemas.openxmlformats.org/officeDocument/2006/relationships/hyperlink" Target="https://www.investing.com/pro/pricing?entry=balance-sheet" TargetMode="External"/><Relationship Id="rId228" Type="http://schemas.openxmlformats.org/officeDocument/2006/relationships/hyperlink" Target="https://www.investing.com/pro/pricing?entry=balance-sheet" TargetMode="External"/><Relationship Id="rId281" Type="http://schemas.openxmlformats.org/officeDocument/2006/relationships/hyperlink" Target="https://www.investing.com/pro/pricing?entry=balance-sheet" TargetMode="External"/><Relationship Id="rId34" Type="http://schemas.openxmlformats.org/officeDocument/2006/relationships/hyperlink" Target="https://www.investing.com/pro/pricing?entry=balance-sheet" TargetMode="External"/><Relationship Id="rId76" Type="http://schemas.openxmlformats.org/officeDocument/2006/relationships/hyperlink" Target="https://www.investing.com/pro/pricing?entry=balance-sheet" TargetMode="External"/><Relationship Id="rId141" Type="http://schemas.openxmlformats.org/officeDocument/2006/relationships/hyperlink" Target="https://www.investing.com/pro/pricing?entry=balance-sheet" TargetMode="External"/><Relationship Id="rId7" Type="http://schemas.openxmlformats.org/officeDocument/2006/relationships/hyperlink" Target="https://www.investing.com/pro/pricing?entry=balance-sheet" TargetMode="External"/><Relationship Id="rId183" Type="http://schemas.openxmlformats.org/officeDocument/2006/relationships/hyperlink" Target="https://www.investing.com/pro/pricing?entry=balance-sheet" TargetMode="External"/><Relationship Id="rId239" Type="http://schemas.openxmlformats.org/officeDocument/2006/relationships/hyperlink" Target="https://www.investing.com/pro/pricing?entry=balance-sheet" TargetMode="External"/><Relationship Id="rId250" Type="http://schemas.openxmlformats.org/officeDocument/2006/relationships/hyperlink" Target="https://www.investing.com/pro/pricing?entry=balance-sheet" TargetMode="External"/><Relationship Id="rId271" Type="http://schemas.openxmlformats.org/officeDocument/2006/relationships/hyperlink" Target="https://www.investing.com/pro/pricing?entry=balance-sheet" TargetMode="External"/><Relationship Id="rId292" Type="http://schemas.openxmlformats.org/officeDocument/2006/relationships/hyperlink" Target="https://www.investing.com/pro/pricing?entry=balance-sheet" TargetMode="External"/><Relationship Id="rId306" Type="http://schemas.openxmlformats.org/officeDocument/2006/relationships/hyperlink" Target="https://www.investing.com/pro/pricing?entry=balance-sheet" TargetMode="External"/><Relationship Id="rId24" Type="http://schemas.openxmlformats.org/officeDocument/2006/relationships/hyperlink" Target="https://www.investing.com/pro/pricing?entry=balance-sheet" TargetMode="External"/><Relationship Id="rId45" Type="http://schemas.openxmlformats.org/officeDocument/2006/relationships/hyperlink" Target="https://www.investing.com/pro/pricing?entry=balance-sheet" TargetMode="External"/><Relationship Id="rId66" Type="http://schemas.openxmlformats.org/officeDocument/2006/relationships/hyperlink" Target="https://www.investing.com/pro/pricing?entry=balance-sheet" TargetMode="External"/><Relationship Id="rId87" Type="http://schemas.openxmlformats.org/officeDocument/2006/relationships/hyperlink" Target="https://www.investing.com/pro/pricing?entry=balance-sheet" TargetMode="External"/><Relationship Id="rId110" Type="http://schemas.openxmlformats.org/officeDocument/2006/relationships/hyperlink" Target="https://www.investing.com/pro/pricing?entry=balance-sheet" TargetMode="External"/><Relationship Id="rId131" Type="http://schemas.openxmlformats.org/officeDocument/2006/relationships/hyperlink" Target="https://www.investing.com/pro/pricing?entry=balance-sheet" TargetMode="External"/><Relationship Id="rId327" Type="http://schemas.openxmlformats.org/officeDocument/2006/relationships/hyperlink" Target="https://www.investing.com/pro/pricing?entry=balance-sheet" TargetMode="External"/><Relationship Id="rId152" Type="http://schemas.openxmlformats.org/officeDocument/2006/relationships/hyperlink" Target="https://www.investing.com/pro/pricing?entry=balance-sheet" TargetMode="External"/><Relationship Id="rId173" Type="http://schemas.openxmlformats.org/officeDocument/2006/relationships/hyperlink" Target="https://www.investing.com/pro/pricing?entry=balance-sheet" TargetMode="External"/><Relationship Id="rId194" Type="http://schemas.openxmlformats.org/officeDocument/2006/relationships/hyperlink" Target="https://www.investing.com/pro/pricing?entry=balance-sheet" TargetMode="External"/><Relationship Id="rId208" Type="http://schemas.openxmlformats.org/officeDocument/2006/relationships/hyperlink" Target="https://www.investing.com/pro/pricing?entry=balance-sheet" TargetMode="External"/><Relationship Id="rId229" Type="http://schemas.openxmlformats.org/officeDocument/2006/relationships/hyperlink" Target="https://www.investing.com/pro/pricing?entry=balance-sheet" TargetMode="External"/><Relationship Id="rId240" Type="http://schemas.openxmlformats.org/officeDocument/2006/relationships/hyperlink" Target="https://www.investing.com/pro/pricing?entry=balance-sheet" TargetMode="External"/><Relationship Id="rId261" Type="http://schemas.openxmlformats.org/officeDocument/2006/relationships/hyperlink" Target="https://www.investing.com/pro/pricing?entry=balance-sheet" TargetMode="External"/><Relationship Id="rId14" Type="http://schemas.openxmlformats.org/officeDocument/2006/relationships/hyperlink" Target="https://www.investing.com/pro/pricing?entry=balance-sheet" TargetMode="External"/><Relationship Id="rId35" Type="http://schemas.openxmlformats.org/officeDocument/2006/relationships/hyperlink" Target="https://www.investing.com/pro/pricing?entry=balance-sheet" TargetMode="External"/><Relationship Id="rId56" Type="http://schemas.openxmlformats.org/officeDocument/2006/relationships/hyperlink" Target="https://www.investing.com/pro/pricing?entry=balance-sheet" TargetMode="External"/><Relationship Id="rId77" Type="http://schemas.openxmlformats.org/officeDocument/2006/relationships/hyperlink" Target="https://www.investing.com/pro/pricing?entry=balance-sheet" TargetMode="External"/><Relationship Id="rId100" Type="http://schemas.openxmlformats.org/officeDocument/2006/relationships/hyperlink" Target="https://www.investing.com/pro/pricing?entry=balance-sheet" TargetMode="External"/><Relationship Id="rId282" Type="http://schemas.openxmlformats.org/officeDocument/2006/relationships/hyperlink" Target="https://www.investing.com/pro/pricing?entry=balance-sheet" TargetMode="External"/><Relationship Id="rId317" Type="http://schemas.openxmlformats.org/officeDocument/2006/relationships/hyperlink" Target="https://www.investing.com/pro/pricing?entry=balance-sheet" TargetMode="External"/><Relationship Id="rId8" Type="http://schemas.openxmlformats.org/officeDocument/2006/relationships/hyperlink" Target="https://www.investing.com/pro/pricing?entry=balance-sheet" TargetMode="External"/><Relationship Id="rId98" Type="http://schemas.openxmlformats.org/officeDocument/2006/relationships/hyperlink" Target="https://www.investing.com/pro/pricing?entry=balance-sheet" TargetMode="External"/><Relationship Id="rId121" Type="http://schemas.openxmlformats.org/officeDocument/2006/relationships/hyperlink" Target="https://www.investing.com/pro/pricing?entry=balance-sheet" TargetMode="External"/><Relationship Id="rId142" Type="http://schemas.openxmlformats.org/officeDocument/2006/relationships/hyperlink" Target="https://www.investing.com/pro/pricing?entry=balance-sheet" TargetMode="External"/><Relationship Id="rId163" Type="http://schemas.openxmlformats.org/officeDocument/2006/relationships/hyperlink" Target="https://www.investing.com/pro/pricing?entry=balance-sheet" TargetMode="External"/><Relationship Id="rId184" Type="http://schemas.openxmlformats.org/officeDocument/2006/relationships/hyperlink" Target="https://www.investing.com/pro/pricing?entry=balance-sheet" TargetMode="External"/><Relationship Id="rId219" Type="http://schemas.openxmlformats.org/officeDocument/2006/relationships/hyperlink" Target="https://www.investing.com/pro/pricing?entry=balance-sheet" TargetMode="External"/><Relationship Id="rId230" Type="http://schemas.openxmlformats.org/officeDocument/2006/relationships/hyperlink" Target="https://www.investing.com/pro/pricing?entry=balance-sheet" TargetMode="External"/><Relationship Id="rId251" Type="http://schemas.openxmlformats.org/officeDocument/2006/relationships/hyperlink" Target="https://www.investing.com/pro/pricing?entry=balance-sheet" TargetMode="External"/><Relationship Id="rId25" Type="http://schemas.openxmlformats.org/officeDocument/2006/relationships/hyperlink" Target="https://www.investing.com/pro/pricing?entry=balance-sheet" TargetMode="External"/><Relationship Id="rId46" Type="http://schemas.openxmlformats.org/officeDocument/2006/relationships/hyperlink" Target="https://www.investing.com/pro/pricing?entry=balance-sheet" TargetMode="External"/><Relationship Id="rId67" Type="http://schemas.openxmlformats.org/officeDocument/2006/relationships/hyperlink" Target="https://www.investing.com/pro/pricing?entry=balance-sheet" TargetMode="External"/><Relationship Id="rId272" Type="http://schemas.openxmlformats.org/officeDocument/2006/relationships/hyperlink" Target="https://www.investing.com/pro/pricing?entry=balance-sheet" TargetMode="External"/><Relationship Id="rId293" Type="http://schemas.openxmlformats.org/officeDocument/2006/relationships/hyperlink" Target="https://www.investing.com/pro/pricing?entry=balance-sheet" TargetMode="External"/><Relationship Id="rId307" Type="http://schemas.openxmlformats.org/officeDocument/2006/relationships/hyperlink" Target="https://www.investing.com/pro/pricing?entry=balance-sheet" TargetMode="External"/><Relationship Id="rId328" Type="http://schemas.openxmlformats.org/officeDocument/2006/relationships/hyperlink" Target="https://www.investing.com/pro/pricing?entry=balance-sheet" TargetMode="External"/><Relationship Id="rId88" Type="http://schemas.openxmlformats.org/officeDocument/2006/relationships/hyperlink" Target="https://www.investing.com/pro/pricing?entry=balance-sheet" TargetMode="External"/><Relationship Id="rId111" Type="http://schemas.openxmlformats.org/officeDocument/2006/relationships/hyperlink" Target="https://www.investing.com/pro/pricing?entry=balance-sheet" TargetMode="External"/><Relationship Id="rId132" Type="http://schemas.openxmlformats.org/officeDocument/2006/relationships/hyperlink" Target="https://www.investing.com/pro/pricing?entry=balance-sheet" TargetMode="External"/><Relationship Id="rId153" Type="http://schemas.openxmlformats.org/officeDocument/2006/relationships/hyperlink" Target="https://www.investing.com/pro/pricing?entry=balance-sheet" TargetMode="External"/><Relationship Id="rId174" Type="http://schemas.openxmlformats.org/officeDocument/2006/relationships/hyperlink" Target="https://www.investing.com/pro/pricing?entry=balance-sheet" TargetMode="External"/><Relationship Id="rId195" Type="http://schemas.openxmlformats.org/officeDocument/2006/relationships/hyperlink" Target="https://www.investing.com/pro/pricing?entry=balance-sheet" TargetMode="External"/><Relationship Id="rId209" Type="http://schemas.openxmlformats.org/officeDocument/2006/relationships/hyperlink" Target="https://www.investing.com/pro/pricing?entry=balance-sheet" TargetMode="External"/><Relationship Id="rId220" Type="http://schemas.openxmlformats.org/officeDocument/2006/relationships/hyperlink" Target="https://www.investing.com/pro/pricing?entry=balance-sheet" TargetMode="External"/><Relationship Id="rId241" Type="http://schemas.openxmlformats.org/officeDocument/2006/relationships/hyperlink" Target="https://www.investing.com/pro/pricing?entry=balance-sheet" TargetMode="External"/><Relationship Id="rId15" Type="http://schemas.openxmlformats.org/officeDocument/2006/relationships/hyperlink" Target="https://www.investing.com/pro/pricing?entry=balance-sheet" TargetMode="External"/><Relationship Id="rId36" Type="http://schemas.openxmlformats.org/officeDocument/2006/relationships/hyperlink" Target="https://www.investing.com/pro/pricing?entry=balance-sheet" TargetMode="External"/><Relationship Id="rId57" Type="http://schemas.openxmlformats.org/officeDocument/2006/relationships/hyperlink" Target="https://www.investing.com/pro/pricing?entry=balance-sheet" TargetMode="External"/><Relationship Id="rId262" Type="http://schemas.openxmlformats.org/officeDocument/2006/relationships/hyperlink" Target="https://www.investing.com/pro/pricing?entry=balance-sheet" TargetMode="External"/><Relationship Id="rId283" Type="http://schemas.openxmlformats.org/officeDocument/2006/relationships/hyperlink" Target="https://www.investing.com/pro/pricing?entry=balance-sheet" TargetMode="External"/><Relationship Id="rId318" Type="http://schemas.openxmlformats.org/officeDocument/2006/relationships/hyperlink" Target="https://www.investing.com/pro/pricing?entry=balance-sheet" TargetMode="External"/><Relationship Id="rId78" Type="http://schemas.openxmlformats.org/officeDocument/2006/relationships/hyperlink" Target="https://www.investing.com/pro/pricing?entry=balance-sheet" TargetMode="External"/><Relationship Id="rId99" Type="http://schemas.openxmlformats.org/officeDocument/2006/relationships/hyperlink" Target="https://www.investing.com/pro/pricing?entry=balance-sheet" TargetMode="External"/><Relationship Id="rId101" Type="http://schemas.openxmlformats.org/officeDocument/2006/relationships/hyperlink" Target="https://www.investing.com/pro/pricing?entry=balance-sheet" TargetMode="External"/><Relationship Id="rId122" Type="http://schemas.openxmlformats.org/officeDocument/2006/relationships/hyperlink" Target="https://www.investing.com/pro/pricing?entry=balance-sheet" TargetMode="External"/><Relationship Id="rId143" Type="http://schemas.openxmlformats.org/officeDocument/2006/relationships/hyperlink" Target="https://www.investing.com/pro/pricing?entry=balance-sheet" TargetMode="External"/><Relationship Id="rId164" Type="http://schemas.openxmlformats.org/officeDocument/2006/relationships/hyperlink" Target="https://www.investing.com/pro/pricing?entry=balance-sheet" TargetMode="External"/><Relationship Id="rId185" Type="http://schemas.openxmlformats.org/officeDocument/2006/relationships/hyperlink" Target="https://www.investing.com/pro/pricing?entry=balance-sheet" TargetMode="External"/><Relationship Id="rId9" Type="http://schemas.openxmlformats.org/officeDocument/2006/relationships/hyperlink" Target="https://www.investing.com/pro/pricing?entry=balance-sheet" TargetMode="External"/><Relationship Id="rId210" Type="http://schemas.openxmlformats.org/officeDocument/2006/relationships/hyperlink" Target="https://www.investing.com/pro/pricing?entry=balance-sheet" TargetMode="External"/><Relationship Id="rId26" Type="http://schemas.openxmlformats.org/officeDocument/2006/relationships/hyperlink" Target="https://www.investing.com/pro/pricing?entry=balance-sheet" TargetMode="External"/><Relationship Id="rId231" Type="http://schemas.openxmlformats.org/officeDocument/2006/relationships/hyperlink" Target="https://www.investing.com/pro/pricing?entry=balance-sheet" TargetMode="External"/><Relationship Id="rId252" Type="http://schemas.openxmlformats.org/officeDocument/2006/relationships/hyperlink" Target="https://www.investing.com/pro/pricing?entry=balance-sheet" TargetMode="External"/><Relationship Id="rId273" Type="http://schemas.openxmlformats.org/officeDocument/2006/relationships/hyperlink" Target="https://www.investing.com/pro/pricing?entry=balance-sheet" TargetMode="External"/><Relationship Id="rId294" Type="http://schemas.openxmlformats.org/officeDocument/2006/relationships/hyperlink" Target="https://www.investing.com/pro/pricing?entry=balance-sheet" TargetMode="External"/><Relationship Id="rId308" Type="http://schemas.openxmlformats.org/officeDocument/2006/relationships/hyperlink" Target="https://www.investing.com/pro/pricing?entry=balance-sheet" TargetMode="External"/><Relationship Id="rId329" Type="http://schemas.openxmlformats.org/officeDocument/2006/relationships/hyperlink" Target="https://www.investing.com/pro/pricing?entry=balance-sheet" TargetMode="External"/><Relationship Id="rId47" Type="http://schemas.openxmlformats.org/officeDocument/2006/relationships/hyperlink" Target="https://www.investing.com/pro/pricing?entry=balance-sheet" TargetMode="External"/><Relationship Id="rId68" Type="http://schemas.openxmlformats.org/officeDocument/2006/relationships/hyperlink" Target="https://www.investing.com/pro/pricing?entry=balance-sheet" TargetMode="External"/><Relationship Id="rId89" Type="http://schemas.openxmlformats.org/officeDocument/2006/relationships/hyperlink" Target="https://www.investing.com/pro/pricing?entry=balance-sheet" TargetMode="External"/><Relationship Id="rId112" Type="http://schemas.openxmlformats.org/officeDocument/2006/relationships/hyperlink" Target="https://www.investing.com/pro/pricing?entry=balance-sheet" TargetMode="External"/><Relationship Id="rId133" Type="http://schemas.openxmlformats.org/officeDocument/2006/relationships/hyperlink" Target="https://www.investing.com/pro/pricing?entry=balance-sheet" TargetMode="External"/><Relationship Id="rId154" Type="http://schemas.openxmlformats.org/officeDocument/2006/relationships/hyperlink" Target="https://www.investing.com/pro/pricing?entry=balance-sheet" TargetMode="External"/><Relationship Id="rId175" Type="http://schemas.openxmlformats.org/officeDocument/2006/relationships/hyperlink" Target="https://www.investing.com/pro/pricing?entry=balance-sheet" TargetMode="External"/><Relationship Id="rId196" Type="http://schemas.openxmlformats.org/officeDocument/2006/relationships/hyperlink" Target="https://www.investing.com/pro/pricing?entry=balance-sheet" TargetMode="External"/><Relationship Id="rId200" Type="http://schemas.openxmlformats.org/officeDocument/2006/relationships/hyperlink" Target="https://www.investing.com/pro/pricing?entry=balance-sheet" TargetMode="External"/><Relationship Id="rId16" Type="http://schemas.openxmlformats.org/officeDocument/2006/relationships/hyperlink" Target="https://www.investing.com/pro/pricing?entry=balance-sheet" TargetMode="External"/><Relationship Id="rId221" Type="http://schemas.openxmlformats.org/officeDocument/2006/relationships/hyperlink" Target="https://www.investing.com/pro/pricing?entry=balance-sheet" TargetMode="External"/><Relationship Id="rId242" Type="http://schemas.openxmlformats.org/officeDocument/2006/relationships/hyperlink" Target="https://www.investing.com/pro/pricing?entry=balance-sheet" TargetMode="External"/><Relationship Id="rId263" Type="http://schemas.openxmlformats.org/officeDocument/2006/relationships/hyperlink" Target="https://www.investing.com/pro/pricing?entry=balance-sheet" TargetMode="External"/><Relationship Id="rId284" Type="http://schemas.openxmlformats.org/officeDocument/2006/relationships/hyperlink" Target="https://www.investing.com/pro/pricing?entry=balance-sheet" TargetMode="External"/><Relationship Id="rId319" Type="http://schemas.openxmlformats.org/officeDocument/2006/relationships/hyperlink" Target="https://www.investing.com/pro/pricing?entry=balance-sheet" TargetMode="External"/><Relationship Id="rId37" Type="http://schemas.openxmlformats.org/officeDocument/2006/relationships/hyperlink" Target="https://www.investing.com/pro/pricing?entry=balance-sheet" TargetMode="External"/><Relationship Id="rId58" Type="http://schemas.openxmlformats.org/officeDocument/2006/relationships/hyperlink" Target="https://www.investing.com/pro/pricing?entry=balance-sheet" TargetMode="External"/><Relationship Id="rId79" Type="http://schemas.openxmlformats.org/officeDocument/2006/relationships/hyperlink" Target="https://www.investing.com/pro/pricing?entry=balance-sheet" TargetMode="External"/><Relationship Id="rId102" Type="http://schemas.openxmlformats.org/officeDocument/2006/relationships/hyperlink" Target="https://www.investing.com/pro/pricing?entry=balance-sheet" TargetMode="External"/><Relationship Id="rId123" Type="http://schemas.openxmlformats.org/officeDocument/2006/relationships/hyperlink" Target="https://www.investing.com/pro/pricing?entry=balance-sheet" TargetMode="External"/><Relationship Id="rId144" Type="http://schemas.openxmlformats.org/officeDocument/2006/relationships/hyperlink" Target="https://www.investing.com/pro/pricing?entry=balance-sheet" TargetMode="External"/><Relationship Id="rId330" Type="http://schemas.openxmlformats.org/officeDocument/2006/relationships/hyperlink" Target="https://www.investing.com/pro/pricing?entry=balance-sheet" TargetMode="External"/><Relationship Id="rId90" Type="http://schemas.openxmlformats.org/officeDocument/2006/relationships/hyperlink" Target="https://www.investing.com/pro/pricing?entry=balance-sheet" TargetMode="External"/><Relationship Id="rId165" Type="http://schemas.openxmlformats.org/officeDocument/2006/relationships/hyperlink" Target="https://www.investing.com/pro/pricing?entry=balance-sheet" TargetMode="External"/><Relationship Id="rId186" Type="http://schemas.openxmlformats.org/officeDocument/2006/relationships/hyperlink" Target="https://www.investing.com/pro/pricing?entry=balance-sheet" TargetMode="External"/><Relationship Id="rId211" Type="http://schemas.openxmlformats.org/officeDocument/2006/relationships/hyperlink" Target="https://www.investing.com/pro/pricing?entry=balance-sheet" TargetMode="External"/><Relationship Id="rId232" Type="http://schemas.openxmlformats.org/officeDocument/2006/relationships/hyperlink" Target="https://www.investing.com/pro/pricing?entry=balance-sheet" TargetMode="External"/><Relationship Id="rId253" Type="http://schemas.openxmlformats.org/officeDocument/2006/relationships/hyperlink" Target="https://www.investing.com/pro/pricing?entry=balance-sheet" TargetMode="External"/><Relationship Id="rId274" Type="http://schemas.openxmlformats.org/officeDocument/2006/relationships/hyperlink" Target="https://www.investing.com/pro/pricing?entry=balance-sheet" TargetMode="External"/><Relationship Id="rId295" Type="http://schemas.openxmlformats.org/officeDocument/2006/relationships/hyperlink" Target="https://www.investing.com/pro/pricing?entry=balance-sheet" TargetMode="External"/><Relationship Id="rId309" Type="http://schemas.openxmlformats.org/officeDocument/2006/relationships/hyperlink" Target="https://www.investing.com/pro/pricing?entry=balance-sheet" TargetMode="External"/><Relationship Id="rId27" Type="http://schemas.openxmlformats.org/officeDocument/2006/relationships/hyperlink" Target="https://www.investing.com/pro/pricing?entry=balance-sheet" TargetMode="External"/><Relationship Id="rId48" Type="http://schemas.openxmlformats.org/officeDocument/2006/relationships/hyperlink" Target="https://www.investing.com/pro/pricing?entry=balance-sheet" TargetMode="External"/><Relationship Id="rId69" Type="http://schemas.openxmlformats.org/officeDocument/2006/relationships/hyperlink" Target="https://www.investing.com/pro/pricing?entry=balance-sheet" TargetMode="External"/><Relationship Id="rId113" Type="http://schemas.openxmlformats.org/officeDocument/2006/relationships/hyperlink" Target="https://www.investing.com/pro/pricing?entry=balance-sheet" TargetMode="External"/><Relationship Id="rId134" Type="http://schemas.openxmlformats.org/officeDocument/2006/relationships/hyperlink" Target="https://www.investing.com/pro/pricing?entry=balance-sheet" TargetMode="External"/><Relationship Id="rId320" Type="http://schemas.openxmlformats.org/officeDocument/2006/relationships/hyperlink" Target="https://www.investing.com/pro/pricing?entry=balance-sheet" TargetMode="External"/><Relationship Id="rId80" Type="http://schemas.openxmlformats.org/officeDocument/2006/relationships/hyperlink" Target="https://www.investing.com/pro/pricing?entry=balance-sheet" TargetMode="External"/><Relationship Id="rId155" Type="http://schemas.openxmlformats.org/officeDocument/2006/relationships/hyperlink" Target="https://www.investing.com/pro/pricing?entry=balance-sheet" TargetMode="External"/><Relationship Id="rId176" Type="http://schemas.openxmlformats.org/officeDocument/2006/relationships/hyperlink" Target="https://www.investing.com/pro/pricing?entry=balance-sheet" TargetMode="External"/><Relationship Id="rId197" Type="http://schemas.openxmlformats.org/officeDocument/2006/relationships/hyperlink" Target="https://www.investing.com/pro/pricing?entry=balance-sheet" TargetMode="External"/><Relationship Id="rId201" Type="http://schemas.openxmlformats.org/officeDocument/2006/relationships/hyperlink" Target="https://www.investing.com/pro/pricing?entry=balance-sheet" TargetMode="External"/><Relationship Id="rId222" Type="http://schemas.openxmlformats.org/officeDocument/2006/relationships/hyperlink" Target="https://www.investing.com/pro/pricing?entry=balance-sheet" TargetMode="External"/><Relationship Id="rId243" Type="http://schemas.openxmlformats.org/officeDocument/2006/relationships/hyperlink" Target="https://www.investing.com/pro/pricing?entry=balance-sheet" TargetMode="External"/><Relationship Id="rId264" Type="http://schemas.openxmlformats.org/officeDocument/2006/relationships/hyperlink" Target="https://www.investing.com/pro/pricing?entry=balance-sheet" TargetMode="External"/><Relationship Id="rId285" Type="http://schemas.openxmlformats.org/officeDocument/2006/relationships/hyperlink" Target="https://www.investing.com/pro/pricing?entry=balance-sheet" TargetMode="External"/><Relationship Id="rId17" Type="http://schemas.openxmlformats.org/officeDocument/2006/relationships/hyperlink" Target="https://www.investing.com/pro/pricing?entry=balance-sheet" TargetMode="External"/><Relationship Id="rId38" Type="http://schemas.openxmlformats.org/officeDocument/2006/relationships/hyperlink" Target="https://www.investing.com/pro/pricing?entry=balance-sheet" TargetMode="External"/><Relationship Id="rId59" Type="http://schemas.openxmlformats.org/officeDocument/2006/relationships/hyperlink" Target="https://www.investing.com/pro/pricing?entry=balance-sheet" TargetMode="External"/><Relationship Id="rId103" Type="http://schemas.openxmlformats.org/officeDocument/2006/relationships/hyperlink" Target="https://www.investing.com/pro/pricing?entry=balance-sheet" TargetMode="External"/><Relationship Id="rId124" Type="http://schemas.openxmlformats.org/officeDocument/2006/relationships/hyperlink" Target="https://www.investing.com/pro/pricing?entry=balance-sheet" TargetMode="External"/><Relationship Id="rId310" Type="http://schemas.openxmlformats.org/officeDocument/2006/relationships/hyperlink" Target="https://www.investing.com/pro/pricing?entry=balance-sheet" TargetMode="External"/><Relationship Id="rId70" Type="http://schemas.openxmlformats.org/officeDocument/2006/relationships/hyperlink" Target="https://www.investing.com/pro/pricing?entry=balance-sheet" TargetMode="External"/><Relationship Id="rId91" Type="http://schemas.openxmlformats.org/officeDocument/2006/relationships/hyperlink" Target="https://www.investing.com/pro/pricing?entry=balance-sheet" TargetMode="External"/><Relationship Id="rId145" Type="http://schemas.openxmlformats.org/officeDocument/2006/relationships/hyperlink" Target="https://www.investing.com/pro/pricing?entry=balance-sheet" TargetMode="External"/><Relationship Id="rId166" Type="http://schemas.openxmlformats.org/officeDocument/2006/relationships/hyperlink" Target="https://www.investing.com/pro/pricing?entry=balance-sheet" TargetMode="External"/><Relationship Id="rId187" Type="http://schemas.openxmlformats.org/officeDocument/2006/relationships/hyperlink" Target="https://www.investing.com/pro/pricing?entry=balance-sheet" TargetMode="External"/><Relationship Id="rId1" Type="http://schemas.openxmlformats.org/officeDocument/2006/relationships/hyperlink" Target="https://www.investing.com/pro/pricing?entry=balance-sheet" TargetMode="External"/><Relationship Id="rId212" Type="http://schemas.openxmlformats.org/officeDocument/2006/relationships/hyperlink" Target="https://www.investing.com/pro/pricing?entry=balance-sheet" TargetMode="External"/><Relationship Id="rId233" Type="http://schemas.openxmlformats.org/officeDocument/2006/relationships/hyperlink" Target="https://www.investing.com/pro/pricing?entry=balance-sheet" TargetMode="External"/><Relationship Id="rId254" Type="http://schemas.openxmlformats.org/officeDocument/2006/relationships/hyperlink" Target="https://www.investing.com/pro/pricing?entry=balance-sheet" TargetMode="External"/><Relationship Id="rId28" Type="http://schemas.openxmlformats.org/officeDocument/2006/relationships/hyperlink" Target="https://www.investing.com/pro/pricing?entry=balance-sheet" TargetMode="External"/><Relationship Id="rId49" Type="http://schemas.openxmlformats.org/officeDocument/2006/relationships/hyperlink" Target="https://www.investing.com/pro/pricing?entry=balance-sheet" TargetMode="External"/><Relationship Id="rId114" Type="http://schemas.openxmlformats.org/officeDocument/2006/relationships/hyperlink" Target="https://www.investing.com/pro/pricing?entry=balance-sheet" TargetMode="External"/><Relationship Id="rId275" Type="http://schemas.openxmlformats.org/officeDocument/2006/relationships/hyperlink" Target="https://www.investing.com/pro/pricing?entry=balance-sheet" TargetMode="External"/><Relationship Id="rId296" Type="http://schemas.openxmlformats.org/officeDocument/2006/relationships/hyperlink" Target="https://www.investing.com/pro/pricing?entry=balance-sheet" TargetMode="External"/><Relationship Id="rId300" Type="http://schemas.openxmlformats.org/officeDocument/2006/relationships/hyperlink" Target="https://www.investing.com/pro/pricing?entry=balance-sheet" TargetMode="External"/><Relationship Id="rId60" Type="http://schemas.openxmlformats.org/officeDocument/2006/relationships/hyperlink" Target="https://www.investing.com/pro/pricing?entry=balance-sheet" TargetMode="External"/><Relationship Id="rId81" Type="http://schemas.openxmlformats.org/officeDocument/2006/relationships/hyperlink" Target="https://www.investing.com/pro/pricing?entry=balance-sheet" TargetMode="External"/><Relationship Id="rId135" Type="http://schemas.openxmlformats.org/officeDocument/2006/relationships/hyperlink" Target="https://www.investing.com/pro/pricing?entry=balance-sheet" TargetMode="External"/><Relationship Id="rId156" Type="http://schemas.openxmlformats.org/officeDocument/2006/relationships/hyperlink" Target="https://www.investing.com/pro/pricing?entry=balance-sheet" TargetMode="External"/><Relationship Id="rId177" Type="http://schemas.openxmlformats.org/officeDocument/2006/relationships/hyperlink" Target="https://www.investing.com/pro/pricing?entry=balance-sheet" TargetMode="External"/><Relationship Id="rId198" Type="http://schemas.openxmlformats.org/officeDocument/2006/relationships/hyperlink" Target="https://www.investing.com/pro/pricing?entry=balance-sheet" TargetMode="External"/><Relationship Id="rId321" Type="http://schemas.openxmlformats.org/officeDocument/2006/relationships/hyperlink" Target="https://www.investing.com/pro/pricing?entry=balance-sheet" TargetMode="External"/><Relationship Id="rId202" Type="http://schemas.openxmlformats.org/officeDocument/2006/relationships/hyperlink" Target="https://www.investing.com/pro/pricing?entry=balance-sheet" TargetMode="External"/><Relationship Id="rId223" Type="http://schemas.openxmlformats.org/officeDocument/2006/relationships/hyperlink" Target="https://www.investing.com/pro/pricing?entry=balance-sheet" TargetMode="External"/><Relationship Id="rId244" Type="http://schemas.openxmlformats.org/officeDocument/2006/relationships/hyperlink" Target="https://www.investing.com/pro/pricing?entry=balance-sheet" TargetMode="External"/><Relationship Id="rId18" Type="http://schemas.openxmlformats.org/officeDocument/2006/relationships/hyperlink" Target="https://www.investing.com/pro/pricing?entry=balance-sheet" TargetMode="External"/><Relationship Id="rId39" Type="http://schemas.openxmlformats.org/officeDocument/2006/relationships/hyperlink" Target="https://www.investing.com/pro/pricing?entry=balance-sheet" TargetMode="External"/><Relationship Id="rId265" Type="http://schemas.openxmlformats.org/officeDocument/2006/relationships/hyperlink" Target="https://www.investing.com/pro/pricing?entry=balance-sheet" TargetMode="External"/><Relationship Id="rId286" Type="http://schemas.openxmlformats.org/officeDocument/2006/relationships/hyperlink" Target="https://www.investing.com/pro/pricing?entry=balance-sheet" TargetMode="External"/><Relationship Id="rId50" Type="http://schemas.openxmlformats.org/officeDocument/2006/relationships/hyperlink" Target="https://www.investing.com/pro/pricing?entry=balance-sheet" TargetMode="External"/><Relationship Id="rId104" Type="http://schemas.openxmlformats.org/officeDocument/2006/relationships/hyperlink" Target="https://www.investing.com/pro/pricing?entry=balance-sheet" TargetMode="External"/><Relationship Id="rId125" Type="http://schemas.openxmlformats.org/officeDocument/2006/relationships/hyperlink" Target="https://www.investing.com/pro/pricing?entry=balance-sheet" TargetMode="External"/><Relationship Id="rId146" Type="http://schemas.openxmlformats.org/officeDocument/2006/relationships/hyperlink" Target="https://www.investing.com/pro/pricing?entry=balance-sheet" TargetMode="External"/><Relationship Id="rId167" Type="http://schemas.openxmlformats.org/officeDocument/2006/relationships/hyperlink" Target="https://www.investing.com/pro/pricing?entry=balance-sheet" TargetMode="External"/><Relationship Id="rId188" Type="http://schemas.openxmlformats.org/officeDocument/2006/relationships/hyperlink" Target="https://www.investing.com/pro/pricing?entry=balance-sheet" TargetMode="External"/><Relationship Id="rId311" Type="http://schemas.openxmlformats.org/officeDocument/2006/relationships/hyperlink" Target="https://www.investing.com/pro/pricing?entry=balance-sheet" TargetMode="External"/><Relationship Id="rId71" Type="http://schemas.openxmlformats.org/officeDocument/2006/relationships/hyperlink" Target="https://www.investing.com/pro/pricing?entry=balance-sheet" TargetMode="External"/><Relationship Id="rId92" Type="http://schemas.openxmlformats.org/officeDocument/2006/relationships/hyperlink" Target="https://www.investing.com/pro/pricing?entry=balance-sheet" TargetMode="External"/><Relationship Id="rId213" Type="http://schemas.openxmlformats.org/officeDocument/2006/relationships/hyperlink" Target="https://www.investing.com/pro/pricing?entry=balance-sheet" TargetMode="External"/><Relationship Id="rId234" Type="http://schemas.openxmlformats.org/officeDocument/2006/relationships/hyperlink" Target="https://www.investing.com/pro/pricing?entry=balance-sheet" TargetMode="External"/><Relationship Id="rId2" Type="http://schemas.openxmlformats.org/officeDocument/2006/relationships/hyperlink" Target="https://www.investing.com/pro/pricing?entry=balance-sheet" TargetMode="External"/><Relationship Id="rId29" Type="http://schemas.openxmlformats.org/officeDocument/2006/relationships/hyperlink" Target="https://www.investing.com/pro/pricing?entry=balance-sheet" TargetMode="External"/><Relationship Id="rId255" Type="http://schemas.openxmlformats.org/officeDocument/2006/relationships/hyperlink" Target="https://www.investing.com/pro/pricing?entry=balance-sheet" TargetMode="External"/><Relationship Id="rId276" Type="http://schemas.openxmlformats.org/officeDocument/2006/relationships/hyperlink" Target="https://www.investing.com/pro/pricing?entry=balance-sheet" TargetMode="External"/><Relationship Id="rId297" Type="http://schemas.openxmlformats.org/officeDocument/2006/relationships/hyperlink" Target="https://www.investing.com/pro/pricing?entry=balance-sheet" TargetMode="External"/><Relationship Id="rId40" Type="http://schemas.openxmlformats.org/officeDocument/2006/relationships/hyperlink" Target="https://www.investing.com/pro/pricing?entry=balance-sheet" TargetMode="External"/><Relationship Id="rId115" Type="http://schemas.openxmlformats.org/officeDocument/2006/relationships/hyperlink" Target="https://www.investing.com/pro/pricing?entry=balance-sheet" TargetMode="External"/><Relationship Id="rId136" Type="http://schemas.openxmlformats.org/officeDocument/2006/relationships/hyperlink" Target="https://www.investing.com/pro/pricing?entry=balance-sheet" TargetMode="External"/><Relationship Id="rId157" Type="http://schemas.openxmlformats.org/officeDocument/2006/relationships/hyperlink" Target="https://www.investing.com/pro/pricing?entry=balance-sheet" TargetMode="External"/><Relationship Id="rId178" Type="http://schemas.openxmlformats.org/officeDocument/2006/relationships/hyperlink" Target="https://www.investing.com/pro/pricing?entry=balance-sheet" TargetMode="External"/><Relationship Id="rId301" Type="http://schemas.openxmlformats.org/officeDocument/2006/relationships/hyperlink" Target="https://www.investing.com/pro/pricing?entry=balance-sheet" TargetMode="External"/><Relationship Id="rId322" Type="http://schemas.openxmlformats.org/officeDocument/2006/relationships/hyperlink" Target="https://www.investing.com/pro/pricing?entry=balance-sheet" TargetMode="External"/><Relationship Id="rId61" Type="http://schemas.openxmlformats.org/officeDocument/2006/relationships/hyperlink" Target="https://www.investing.com/pro/pricing?entry=balance-sheet" TargetMode="External"/><Relationship Id="rId82" Type="http://schemas.openxmlformats.org/officeDocument/2006/relationships/hyperlink" Target="https://www.investing.com/pro/pricing?entry=balance-sheet" TargetMode="External"/><Relationship Id="rId199" Type="http://schemas.openxmlformats.org/officeDocument/2006/relationships/hyperlink" Target="https://www.investing.com/pro/pricing?entry=balance-sheet" TargetMode="External"/><Relationship Id="rId203" Type="http://schemas.openxmlformats.org/officeDocument/2006/relationships/hyperlink" Target="https://www.investing.com/pro/pricing?entry=balance-sheet" TargetMode="External"/><Relationship Id="rId19" Type="http://schemas.openxmlformats.org/officeDocument/2006/relationships/hyperlink" Target="https://www.investing.com/pro/pricing?entry=balance-sheet" TargetMode="External"/><Relationship Id="rId224" Type="http://schemas.openxmlformats.org/officeDocument/2006/relationships/hyperlink" Target="https://www.investing.com/pro/pricing?entry=balance-sheet" TargetMode="External"/><Relationship Id="rId245" Type="http://schemas.openxmlformats.org/officeDocument/2006/relationships/hyperlink" Target="https://www.investing.com/pro/pricing?entry=balance-sheet" TargetMode="External"/><Relationship Id="rId266" Type="http://schemas.openxmlformats.org/officeDocument/2006/relationships/hyperlink" Target="https://www.investing.com/pro/pricing?entry=balance-sheet" TargetMode="External"/><Relationship Id="rId287" Type="http://schemas.openxmlformats.org/officeDocument/2006/relationships/hyperlink" Target="https://www.investing.com/pro/pricing?entry=balance-sheet" TargetMode="External"/><Relationship Id="rId30" Type="http://schemas.openxmlformats.org/officeDocument/2006/relationships/hyperlink" Target="https://www.investing.com/pro/pricing?entry=balance-sheet" TargetMode="External"/><Relationship Id="rId105" Type="http://schemas.openxmlformats.org/officeDocument/2006/relationships/hyperlink" Target="https://www.investing.com/pro/pricing?entry=balance-sheet" TargetMode="External"/><Relationship Id="rId126" Type="http://schemas.openxmlformats.org/officeDocument/2006/relationships/hyperlink" Target="https://www.investing.com/pro/pricing?entry=balance-sheet" TargetMode="External"/><Relationship Id="rId147" Type="http://schemas.openxmlformats.org/officeDocument/2006/relationships/hyperlink" Target="https://www.investing.com/pro/pricing?entry=balance-sheet" TargetMode="External"/><Relationship Id="rId168" Type="http://schemas.openxmlformats.org/officeDocument/2006/relationships/hyperlink" Target="https://www.investing.com/pro/pricing?entry=balance-sheet" TargetMode="External"/><Relationship Id="rId312" Type="http://schemas.openxmlformats.org/officeDocument/2006/relationships/hyperlink" Target="https://www.investing.com/pro/pricing?entry=balance-sheet" TargetMode="External"/><Relationship Id="rId51" Type="http://schemas.openxmlformats.org/officeDocument/2006/relationships/hyperlink" Target="https://www.investing.com/pro/pricing?entry=balance-sheet" TargetMode="External"/><Relationship Id="rId72" Type="http://schemas.openxmlformats.org/officeDocument/2006/relationships/hyperlink" Target="https://www.investing.com/pro/pricing?entry=balance-sheet" TargetMode="External"/><Relationship Id="rId93" Type="http://schemas.openxmlformats.org/officeDocument/2006/relationships/hyperlink" Target="https://www.investing.com/pro/pricing?entry=balance-sheet" TargetMode="External"/><Relationship Id="rId189" Type="http://schemas.openxmlformats.org/officeDocument/2006/relationships/hyperlink" Target="https://www.investing.com/pro/pricing?entry=balance-sheet" TargetMode="External"/><Relationship Id="rId3" Type="http://schemas.openxmlformats.org/officeDocument/2006/relationships/hyperlink" Target="https://www.investing.com/pro/pricing?entry=balance-sheet" TargetMode="External"/><Relationship Id="rId214" Type="http://schemas.openxmlformats.org/officeDocument/2006/relationships/hyperlink" Target="https://www.investing.com/pro/pricing?entry=balance-sheet" TargetMode="External"/><Relationship Id="rId235" Type="http://schemas.openxmlformats.org/officeDocument/2006/relationships/hyperlink" Target="https://www.investing.com/pro/pricing?entry=balance-sheet" TargetMode="External"/><Relationship Id="rId256" Type="http://schemas.openxmlformats.org/officeDocument/2006/relationships/hyperlink" Target="https://www.investing.com/pro/pricing?entry=balance-sheet" TargetMode="External"/><Relationship Id="rId277" Type="http://schemas.openxmlformats.org/officeDocument/2006/relationships/hyperlink" Target="https://www.investing.com/pro/pricing?entry=balance-sheet" TargetMode="External"/><Relationship Id="rId298" Type="http://schemas.openxmlformats.org/officeDocument/2006/relationships/hyperlink" Target="https://www.investing.com/pro/pricing?entry=balance-sheet" TargetMode="External"/><Relationship Id="rId116" Type="http://schemas.openxmlformats.org/officeDocument/2006/relationships/hyperlink" Target="https://www.investing.com/pro/pricing?entry=balance-sheet" TargetMode="External"/><Relationship Id="rId137" Type="http://schemas.openxmlformats.org/officeDocument/2006/relationships/hyperlink" Target="https://www.investing.com/pro/pricing?entry=balance-sheet" TargetMode="External"/><Relationship Id="rId158" Type="http://schemas.openxmlformats.org/officeDocument/2006/relationships/hyperlink" Target="https://www.investing.com/pro/pricing?entry=balance-sheet" TargetMode="External"/><Relationship Id="rId302" Type="http://schemas.openxmlformats.org/officeDocument/2006/relationships/hyperlink" Target="https://www.investing.com/pro/pricing?entry=balance-sheet" TargetMode="External"/><Relationship Id="rId323" Type="http://schemas.openxmlformats.org/officeDocument/2006/relationships/hyperlink" Target="https://www.investing.com/pro/pricing?entry=balance-sheet" TargetMode="External"/><Relationship Id="rId20" Type="http://schemas.openxmlformats.org/officeDocument/2006/relationships/hyperlink" Target="https://www.investing.com/pro/pricing?entry=balance-sheet" TargetMode="External"/><Relationship Id="rId41" Type="http://schemas.openxmlformats.org/officeDocument/2006/relationships/hyperlink" Target="https://www.investing.com/pro/pricing?entry=balance-sheet" TargetMode="External"/><Relationship Id="rId62" Type="http://schemas.openxmlformats.org/officeDocument/2006/relationships/hyperlink" Target="https://www.investing.com/pro/pricing?entry=balance-sheet" TargetMode="External"/><Relationship Id="rId83" Type="http://schemas.openxmlformats.org/officeDocument/2006/relationships/hyperlink" Target="https://www.investing.com/pro/pricing?entry=balance-sheet" TargetMode="External"/><Relationship Id="rId179" Type="http://schemas.openxmlformats.org/officeDocument/2006/relationships/hyperlink" Target="https://www.investing.com/pro/pricing?entry=balance-sheet" TargetMode="External"/><Relationship Id="rId190" Type="http://schemas.openxmlformats.org/officeDocument/2006/relationships/hyperlink" Target="https://www.investing.com/pro/pricing?entry=balance-sheet" TargetMode="External"/><Relationship Id="rId204" Type="http://schemas.openxmlformats.org/officeDocument/2006/relationships/hyperlink" Target="https://www.investing.com/pro/pricing?entry=balance-sheet" TargetMode="External"/><Relationship Id="rId225" Type="http://schemas.openxmlformats.org/officeDocument/2006/relationships/hyperlink" Target="https://www.investing.com/pro/pricing?entry=balance-sheet" TargetMode="External"/><Relationship Id="rId246" Type="http://schemas.openxmlformats.org/officeDocument/2006/relationships/hyperlink" Target="https://www.investing.com/pro/pricing?entry=balance-sheet" TargetMode="External"/><Relationship Id="rId267" Type="http://schemas.openxmlformats.org/officeDocument/2006/relationships/hyperlink" Target="https://www.investing.com/pro/pricing?entry=balance-sheet" TargetMode="External"/><Relationship Id="rId288" Type="http://schemas.openxmlformats.org/officeDocument/2006/relationships/hyperlink" Target="https://www.investing.com/pro/pricing?entry=balance-sheet" TargetMode="External"/><Relationship Id="rId106" Type="http://schemas.openxmlformats.org/officeDocument/2006/relationships/hyperlink" Target="https://www.investing.com/pro/pricing?entry=balance-sheet" TargetMode="External"/><Relationship Id="rId127" Type="http://schemas.openxmlformats.org/officeDocument/2006/relationships/hyperlink" Target="https://www.investing.com/pro/pricing?entry=balance-sheet" TargetMode="External"/><Relationship Id="rId313" Type="http://schemas.openxmlformats.org/officeDocument/2006/relationships/hyperlink" Target="https://www.investing.com/pro/pricing?entry=balance-sheet" TargetMode="External"/><Relationship Id="rId10" Type="http://schemas.openxmlformats.org/officeDocument/2006/relationships/hyperlink" Target="https://www.investing.com/pro/pricing?entry=balance-sheet" TargetMode="External"/><Relationship Id="rId31" Type="http://schemas.openxmlformats.org/officeDocument/2006/relationships/hyperlink" Target="https://www.investing.com/pro/pricing?entry=balance-sheet" TargetMode="External"/><Relationship Id="rId52" Type="http://schemas.openxmlformats.org/officeDocument/2006/relationships/hyperlink" Target="https://www.investing.com/pro/pricing?entry=balance-sheet" TargetMode="External"/><Relationship Id="rId73" Type="http://schemas.openxmlformats.org/officeDocument/2006/relationships/hyperlink" Target="https://www.investing.com/pro/pricing?entry=balance-sheet" TargetMode="External"/><Relationship Id="rId94" Type="http://schemas.openxmlformats.org/officeDocument/2006/relationships/hyperlink" Target="https://www.investing.com/pro/pricing?entry=balance-sheet" TargetMode="External"/><Relationship Id="rId148" Type="http://schemas.openxmlformats.org/officeDocument/2006/relationships/hyperlink" Target="https://www.investing.com/pro/pricing?entry=balance-sheet" TargetMode="External"/><Relationship Id="rId169" Type="http://schemas.openxmlformats.org/officeDocument/2006/relationships/hyperlink" Target="https://www.investing.com/pro/pricing?entry=balance-sheet" TargetMode="External"/><Relationship Id="rId4" Type="http://schemas.openxmlformats.org/officeDocument/2006/relationships/hyperlink" Target="https://www.investing.com/pro/pricing?entry=balance-sheet" TargetMode="External"/><Relationship Id="rId180" Type="http://schemas.openxmlformats.org/officeDocument/2006/relationships/hyperlink" Target="https://www.investing.com/pro/pricing?entry=balance-sheet" TargetMode="External"/><Relationship Id="rId215" Type="http://schemas.openxmlformats.org/officeDocument/2006/relationships/hyperlink" Target="https://www.investing.com/pro/pricing?entry=balance-sheet" TargetMode="External"/><Relationship Id="rId236" Type="http://schemas.openxmlformats.org/officeDocument/2006/relationships/hyperlink" Target="https://www.investing.com/pro/pricing?entry=balance-sheet" TargetMode="External"/><Relationship Id="rId257" Type="http://schemas.openxmlformats.org/officeDocument/2006/relationships/hyperlink" Target="https://www.investing.com/pro/pricing?entry=balance-sheet" TargetMode="External"/><Relationship Id="rId278" Type="http://schemas.openxmlformats.org/officeDocument/2006/relationships/hyperlink" Target="https://www.investing.com/pro/pricing?entry=balance-sheet" TargetMode="External"/><Relationship Id="rId303" Type="http://schemas.openxmlformats.org/officeDocument/2006/relationships/hyperlink" Target="https://www.investing.com/pro/pricing?entry=balance-sheet" TargetMode="External"/><Relationship Id="rId42" Type="http://schemas.openxmlformats.org/officeDocument/2006/relationships/hyperlink" Target="https://www.investing.com/pro/pricing?entry=balance-sheet" TargetMode="External"/><Relationship Id="rId84" Type="http://schemas.openxmlformats.org/officeDocument/2006/relationships/hyperlink" Target="https://www.investing.com/pro/pricing?entry=balance-sheet" TargetMode="External"/><Relationship Id="rId138" Type="http://schemas.openxmlformats.org/officeDocument/2006/relationships/hyperlink" Target="https://www.investing.com/pro/pricing?entry=balance-sheet" TargetMode="External"/><Relationship Id="rId191" Type="http://schemas.openxmlformats.org/officeDocument/2006/relationships/hyperlink" Target="https://www.investing.com/pro/pricing?entry=balance-sheet" TargetMode="External"/><Relationship Id="rId205" Type="http://schemas.openxmlformats.org/officeDocument/2006/relationships/hyperlink" Target="https://www.investing.com/pro/pricing?entry=balance-sheet" TargetMode="External"/><Relationship Id="rId247" Type="http://schemas.openxmlformats.org/officeDocument/2006/relationships/hyperlink" Target="https://www.investing.com/pro/pricing?entry=balance-sheet" TargetMode="External"/><Relationship Id="rId107" Type="http://schemas.openxmlformats.org/officeDocument/2006/relationships/hyperlink" Target="https://www.investing.com/pro/pricing?entry=balance-sheet" TargetMode="External"/><Relationship Id="rId289" Type="http://schemas.openxmlformats.org/officeDocument/2006/relationships/hyperlink" Target="https://www.investing.com/pro/pricing?entry=balance-sheet" TargetMode="External"/><Relationship Id="rId11" Type="http://schemas.openxmlformats.org/officeDocument/2006/relationships/hyperlink" Target="https://www.investing.com/pro/pricing?entry=balance-sheet" TargetMode="External"/><Relationship Id="rId53" Type="http://schemas.openxmlformats.org/officeDocument/2006/relationships/hyperlink" Target="https://www.investing.com/pro/pricing?entry=balance-sheet" TargetMode="External"/><Relationship Id="rId149" Type="http://schemas.openxmlformats.org/officeDocument/2006/relationships/hyperlink" Target="https://www.investing.com/pro/pricing?entry=balance-sheet" TargetMode="External"/><Relationship Id="rId314" Type="http://schemas.openxmlformats.org/officeDocument/2006/relationships/hyperlink" Target="https://www.investing.com/pro/pricing?entry=balance-sheet" TargetMode="External"/><Relationship Id="rId95" Type="http://schemas.openxmlformats.org/officeDocument/2006/relationships/hyperlink" Target="https://www.investing.com/pro/pricing?entry=balance-sheet" TargetMode="External"/><Relationship Id="rId160" Type="http://schemas.openxmlformats.org/officeDocument/2006/relationships/hyperlink" Target="https://www.investing.com/pro/pricing?entry=balance-sheet" TargetMode="External"/><Relationship Id="rId216" Type="http://schemas.openxmlformats.org/officeDocument/2006/relationships/hyperlink" Target="https://www.investing.com/pro/pricing?entry=balance-sheet" TargetMode="External"/><Relationship Id="rId258" Type="http://schemas.openxmlformats.org/officeDocument/2006/relationships/hyperlink" Target="https://www.investing.com/pro/pricing?entry=balance-sheet" TargetMode="External"/><Relationship Id="rId22" Type="http://schemas.openxmlformats.org/officeDocument/2006/relationships/hyperlink" Target="https://www.investing.com/pro/pricing?entry=balance-sheet" TargetMode="External"/><Relationship Id="rId64" Type="http://schemas.openxmlformats.org/officeDocument/2006/relationships/hyperlink" Target="https://www.investing.com/pro/pricing?entry=balance-sheet" TargetMode="External"/><Relationship Id="rId118" Type="http://schemas.openxmlformats.org/officeDocument/2006/relationships/hyperlink" Target="https://www.investing.com/pro/pricing?entry=balance-sheet" TargetMode="External"/><Relationship Id="rId325" Type="http://schemas.openxmlformats.org/officeDocument/2006/relationships/hyperlink" Target="https://www.investing.com/pro/pricing?entry=balance-sheet" TargetMode="External"/><Relationship Id="rId171" Type="http://schemas.openxmlformats.org/officeDocument/2006/relationships/hyperlink" Target="https://www.investing.com/pro/pricing?entry=balance-sheet" TargetMode="External"/><Relationship Id="rId227" Type="http://schemas.openxmlformats.org/officeDocument/2006/relationships/hyperlink" Target="https://www.investing.com/pro/pricing?entry=balance-sheet" TargetMode="External"/><Relationship Id="rId269" Type="http://schemas.openxmlformats.org/officeDocument/2006/relationships/hyperlink" Target="https://www.investing.com/pro/pricing?entry=balance-sheet" TargetMode="External"/><Relationship Id="rId33" Type="http://schemas.openxmlformats.org/officeDocument/2006/relationships/hyperlink" Target="https://www.investing.com/pro/pricing?entry=balance-sheet" TargetMode="External"/><Relationship Id="rId129" Type="http://schemas.openxmlformats.org/officeDocument/2006/relationships/hyperlink" Target="https://www.investing.com/pro/pricing?entry=balance-sheet" TargetMode="External"/><Relationship Id="rId280" Type="http://schemas.openxmlformats.org/officeDocument/2006/relationships/hyperlink" Target="https://www.investing.com/pro/pricing?entry=balance-sheet" TargetMode="External"/><Relationship Id="rId75" Type="http://schemas.openxmlformats.org/officeDocument/2006/relationships/hyperlink" Target="https://www.investing.com/pro/pricing?entry=balance-sheet" TargetMode="External"/><Relationship Id="rId140" Type="http://schemas.openxmlformats.org/officeDocument/2006/relationships/hyperlink" Target="https://www.investing.com/pro/pricing?entry=balance-sheet" TargetMode="External"/><Relationship Id="rId182" Type="http://schemas.openxmlformats.org/officeDocument/2006/relationships/hyperlink" Target="https://www.investing.com/pro/pricing?entry=balance-sheet" TargetMode="External"/><Relationship Id="rId6" Type="http://schemas.openxmlformats.org/officeDocument/2006/relationships/hyperlink" Target="https://www.investing.com/pro/pricing?entry=balance-sheet" TargetMode="External"/><Relationship Id="rId238" Type="http://schemas.openxmlformats.org/officeDocument/2006/relationships/hyperlink" Target="https://www.investing.com/pro/pricing?entry=balance-sheet" TargetMode="External"/><Relationship Id="rId291" Type="http://schemas.openxmlformats.org/officeDocument/2006/relationships/hyperlink" Target="https://www.investing.com/pro/pricing?entry=balance-sheet" TargetMode="External"/><Relationship Id="rId305" Type="http://schemas.openxmlformats.org/officeDocument/2006/relationships/hyperlink" Target="https://www.investing.com/pro/pricing?entry=balance-sheet" TargetMode="External"/><Relationship Id="rId44" Type="http://schemas.openxmlformats.org/officeDocument/2006/relationships/hyperlink" Target="https://www.investing.com/pro/pricing?entry=balance-sheet" TargetMode="External"/><Relationship Id="rId86" Type="http://schemas.openxmlformats.org/officeDocument/2006/relationships/hyperlink" Target="https://www.investing.com/pro/pricing?entry=balance-sheet" TargetMode="External"/><Relationship Id="rId151" Type="http://schemas.openxmlformats.org/officeDocument/2006/relationships/hyperlink" Target="https://www.investing.com/pro/pricing?entry=balance-sheet" TargetMode="External"/><Relationship Id="rId193" Type="http://schemas.openxmlformats.org/officeDocument/2006/relationships/hyperlink" Target="https://www.investing.com/pro/pricing?entry=balance-sheet" TargetMode="External"/><Relationship Id="rId207" Type="http://schemas.openxmlformats.org/officeDocument/2006/relationships/hyperlink" Target="https://www.investing.com/pro/pricing?entry=balance-sheet" TargetMode="External"/><Relationship Id="rId249" Type="http://schemas.openxmlformats.org/officeDocument/2006/relationships/hyperlink" Target="https://www.investing.com/pro/pricing?entry=balance-sheet" TargetMode="External"/><Relationship Id="rId13" Type="http://schemas.openxmlformats.org/officeDocument/2006/relationships/hyperlink" Target="https://www.investing.com/pro/pricing?entry=balance-sheet" TargetMode="External"/><Relationship Id="rId109" Type="http://schemas.openxmlformats.org/officeDocument/2006/relationships/hyperlink" Target="https://www.investing.com/pro/pricing?entry=balance-sheet" TargetMode="External"/><Relationship Id="rId260" Type="http://schemas.openxmlformats.org/officeDocument/2006/relationships/hyperlink" Target="https://www.investing.com/pro/pricing?entry=balance-sheet" TargetMode="External"/><Relationship Id="rId316" Type="http://schemas.openxmlformats.org/officeDocument/2006/relationships/hyperlink" Target="https://www.investing.com/pro/pricing?entry=balance-sheet" TargetMode="External"/><Relationship Id="rId55" Type="http://schemas.openxmlformats.org/officeDocument/2006/relationships/hyperlink" Target="https://www.investing.com/pro/pricing?entry=balance-sheet" TargetMode="External"/><Relationship Id="rId97" Type="http://schemas.openxmlformats.org/officeDocument/2006/relationships/hyperlink" Target="https://www.investing.com/pro/pricing?entry=balance-sheet" TargetMode="External"/><Relationship Id="rId120" Type="http://schemas.openxmlformats.org/officeDocument/2006/relationships/hyperlink" Target="https://www.investing.com/pro/pricing?entry=balance-sheet" TargetMode="External"/><Relationship Id="rId162" Type="http://schemas.openxmlformats.org/officeDocument/2006/relationships/hyperlink" Target="https://www.investing.com/pro/pricing?entry=balance-sheet" TargetMode="External"/><Relationship Id="rId218" Type="http://schemas.openxmlformats.org/officeDocument/2006/relationships/hyperlink" Target="https://www.investing.com/pro/pricing?entry=balance-sheet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vesting.com/pro/pricing?entry=cashflow-statement" TargetMode="External"/><Relationship Id="rId21" Type="http://schemas.openxmlformats.org/officeDocument/2006/relationships/hyperlink" Target="https://www.investing.com/pro/pricing?entry=cashflow-statement" TargetMode="External"/><Relationship Id="rId42" Type="http://schemas.openxmlformats.org/officeDocument/2006/relationships/hyperlink" Target="https://www.investing.com/pro/pricing?entry=cashflow-statement" TargetMode="External"/><Relationship Id="rId63" Type="http://schemas.openxmlformats.org/officeDocument/2006/relationships/hyperlink" Target="https://www.investing.com/pro/pricing?entry=cashflow-statement" TargetMode="External"/><Relationship Id="rId84" Type="http://schemas.openxmlformats.org/officeDocument/2006/relationships/hyperlink" Target="https://www.investing.com/pro/pricing?entry=cashflow-statement" TargetMode="External"/><Relationship Id="rId138" Type="http://schemas.openxmlformats.org/officeDocument/2006/relationships/hyperlink" Target="https://www.investing.com/pro/pricing?entry=cashflow-statement" TargetMode="External"/><Relationship Id="rId159" Type="http://schemas.openxmlformats.org/officeDocument/2006/relationships/hyperlink" Target="https://www.investing.com/pro/pricing?entry=cashflow-statement" TargetMode="External"/><Relationship Id="rId170" Type="http://schemas.openxmlformats.org/officeDocument/2006/relationships/hyperlink" Target="https://www.investing.com/pro/pricing?entry=cashflow-statement" TargetMode="External"/><Relationship Id="rId107" Type="http://schemas.openxmlformats.org/officeDocument/2006/relationships/hyperlink" Target="https://www.investing.com/pro/pricing?entry=cashflow-statement" TargetMode="External"/><Relationship Id="rId11" Type="http://schemas.openxmlformats.org/officeDocument/2006/relationships/hyperlink" Target="https://www.investing.com/pro/pricing?entry=cashflow-statement" TargetMode="External"/><Relationship Id="rId32" Type="http://schemas.openxmlformats.org/officeDocument/2006/relationships/hyperlink" Target="https://www.investing.com/pro/pricing?entry=cashflow-statement" TargetMode="External"/><Relationship Id="rId53" Type="http://schemas.openxmlformats.org/officeDocument/2006/relationships/hyperlink" Target="https://www.investing.com/pro/pricing?entry=cashflow-statement" TargetMode="External"/><Relationship Id="rId74" Type="http://schemas.openxmlformats.org/officeDocument/2006/relationships/hyperlink" Target="https://www.investing.com/pro/pricing?entry=cashflow-statement" TargetMode="External"/><Relationship Id="rId128" Type="http://schemas.openxmlformats.org/officeDocument/2006/relationships/hyperlink" Target="https://www.investing.com/pro/pricing?entry=cashflow-statement" TargetMode="External"/><Relationship Id="rId149" Type="http://schemas.openxmlformats.org/officeDocument/2006/relationships/hyperlink" Target="https://www.investing.com/pro/pricing?entry=cashflow-statement" TargetMode="External"/><Relationship Id="rId5" Type="http://schemas.openxmlformats.org/officeDocument/2006/relationships/hyperlink" Target="https://www.investing.com/pro/pricing?entry=cashflow-statement" TargetMode="External"/><Relationship Id="rId95" Type="http://schemas.openxmlformats.org/officeDocument/2006/relationships/hyperlink" Target="https://www.investing.com/pro/pricing?entry=cashflow-statement" TargetMode="External"/><Relationship Id="rId160" Type="http://schemas.openxmlformats.org/officeDocument/2006/relationships/hyperlink" Target="https://www.investing.com/pro/pricing?entry=cashflow-statement" TargetMode="External"/><Relationship Id="rId181" Type="http://schemas.openxmlformats.org/officeDocument/2006/relationships/hyperlink" Target="https://www.investing.com/pro/pricing?entry=cashflow-statement" TargetMode="External"/><Relationship Id="rId22" Type="http://schemas.openxmlformats.org/officeDocument/2006/relationships/hyperlink" Target="https://www.investing.com/pro/pricing?entry=cashflow-statement" TargetMode="External"/><Relationship Id="rId43" Type="http://schemas.openxmlformats.org/officeDocument/2006/relationships/hyperlink" Target="https://www.investing.com/pro/pricing?entry=cashflow-statement" TargetMode="External"/><Relationship Id="rId64" Type="http://schemas.openxmlformats.org/officeDocument/2006/relationships/hyperlink" Target="https://www.investing.com/pro/pricing?entry=cashflow-statement" TargetMode="External"/><Relationship Id="rId118" Type="http://schemas.openxmlformats.org/officeDocument/2006/relationships/hyperlink" Target="https://www.investing.com/pro/pricing?entry=cashflow-statement" TargetMode="External"/><Relationship Id="rId139" Type="http://schemas.openxmlformats.org/officeDocument/2006/relationships/hyperlink" Target="https://www.investing.com/pro/pricing?entry=cashflow-statement" TargetMode="External"/><Relationship Id="rId85" Type="http://schemas.openxmlformats.org/officeDocument/2006/relationships/hyperlink" Target="https://www.investing.com/pro/pricing?entry=cashflow-statement" TargetMode="External"/><Relationship Id="rId150" Type="http://schemas.openxmlformats.org/officeDocument/2006/relationships/hyperlink" Target="https://www.investing.com/pro/pricing?entry=cashflow-statement" TargetMode="External"/><Relationship Id="rId171" Type="http://schemas.openxmlformats.org/officeDocument/2006/relationships/hyperlink" Target="https://www.investing.com/pro/pricing?entry=cashflow-statement" TargetMode="External"/><Relationship Id="rId12" Type="http://schemas.openxmlformats.org/officeDocument/2006/relationships/hyperlink" Target="https://www.investing.com/pro/pricing?entry=cashflow-statement" TargetMode="External"/><Relationship Id="rId33" Type="http://schemas.openxmlformats.org/officeDocument/2006/relationships/hyperlink" Target="https://www.investing.com/pro/pricing?entry=cashflow-statement" TargetMode="External"/><Relationship Id="rId108" Type="http://schemas.openxmlformats.org/officeDocument/2006/relationships/hyperlink" Target="https://www.investing.com/pro/pricing?entry=cashflow-statement" TargetMode="External"/><Relationship Id="rId129" Type="http://schemas.openxmlformats.org/officeDocument/2006/relationships/hyperlink" Target="https://www.investing.com/pro/pricing?entry=cashflow-statement" TargetMode="External"/><Relationship Id="rId54" Type="http://schemas.openxmlformats.org/officeDocument/2006/relationships/hyperlink" Target="https://www.investing.com/pro/pricing?entry=cashflow-statement" TargetMode="External"/><Relationship Id="rId75" Type="http://schemas.openxmlformats.org/officeDocument/2006/relationships/hyperlink" Target="https://www.investing.com/pro/pricing?entry=cashflow-statement" TargetMode="External"/><Relationship Id="rId96" Type="http://schemas.openxmlformats.org/officeDocument/2006/relationships/hyperlink" Target="https://www.investing.com/pro/pricing?entry=cashflow-statement" TargetMode="External"/><Relationship Id="rId140" Type="http://schemas.openxmlformats.org/officeDocument/2006/relationships/hyperlink" Target="https://www.investing.com/pro/pricing?entry=cashflow-statement" TargetMode="External"/><Relationship Id="rId161" Type="http://schemas.openxmlformats.org/officeDocument/2006/relationships/hyperlink" Target="https://www.investing.com/pro/pricing?entry=cashflow-statement" TargetMode="External"/><Relationship Id="rId182" Type="http://schemas.openxmlformats.org/officeDocument/2006/relationships/hyperlink" Target="https://www.investing.com/pro/pricing?entry=cashflow-statement" TargetMode="External"/><Relationship Id="rId6" Type="http://schemas.openxmlformats.org/officeDocument/2006/relationships/hyperlink" Target="https://www.investing.com/pro/pricing?entry=cashflow-statement" TargetMode="External"/><Relationship Id="rId23" Type="http://schemas.openxmlformats.org/officeDocument/2006/relationships/hyperlink" Target="https://www.investing.com/pro/pricing?entry=cashflow-statement" TargetMode="External"/><Relationship Id="rId119" Type="http://schemas.openxmlformats.org/officeDocument/2006/relationships/hyperlink" Target="https://www.investing.com/pro/pricing?entry=cashflow-statement" TargetMode="External"/><Relationship Id="rId44" Type="http://schemas.openxmlformats.org/officeDocument/2006/relationships/hyperlink" Target="https://www.investing.com/pro/pricing?entry=cashflow-statement" TargetMode="External"/><Relationship Id="rId65" Type="http://schemas.openxmlformats.org/officeDocument/2006/relationships/hyperlink" Target="https://www.investing.com/pro/pricing?entry=cashflow-statement" TargetMode="External"/><Relationship Id="rId86" Type="http://schemas.openxmlformats.org/officeDocument/2006/relationships/hyperlink" Target="https://www.investing.com/pro/pricing?entry=cashflow-statement" TargetMode="External"/><Relationship Id="rId130" Type="http://schemas.openxmlformats.org/officeDocument/2006/relationships/hyperlink" Target="https://www.investing.com/pro/pricing?entry=cashflow-statement" TargetMode="External"/><Relationship Id="rId151" Type="http://schemas.openxmlformats.org/officeDocument/2006/relationships/hyperlink" Target="https://www.investing.com/pro/pricing?entry=cashflow-statement" TargetMode="External"/><Relationship Id="rId172" Type="http://schemas.openxmlformats.org/officeDocument/2006/relationships/hyperlink" Target="https://www.investing.com/pro/pricing?entry=cashflow-statement" TargetMode="External"/><Relationship Id="rId13" Type="http://schemas.openxmlformats.org/officeDocument/2006/relationships/hyperlink" Target="https://www.investing.com/pro/pricing?entry=cashflow-statement" TargetMode="External"/><Relationship Id="rId18" Type="http://schemas.openxmlformats.org/officeDocument/2006/relationships/hyperlink" Target="https://www.investing.com/pro/pricing?entry=cashflow-statement" TargetMode="External"/><Relationship Id="rId39" Type="http://schemas.openxmlformats.org/officeDocument/2006/relationships/hyperlink" Target="https://www.investing.com/pro/pricing?entry=cashflow-statement" TargetMode="External"/><Relationship Id="rId109" Type="http://schemas.openxmlformats.org/officeDocument/2006/relationships/hyperlink" Target="https://www.investing.com/pro/pricing?entry=cashflow-statement" TargetMode="External"/><Relationship Id="rId34" Type="http://schemas.openxmlformats.org/officeDocument/2006/relationships/hyperlink" Target="https://www.investing.com/pro/pricing?entry=cashflow-statement" TargetMode="External"/><Relationship Id="rId50" Type="http://schemas.openxmlformats.org/officeDocument/2006/relationships/hyperlink" Target="https://www.investing.com/pro/pricing?entry=cashflow-statement" TargetMode="External"/><Relationship Id="rId55" Type="http://schemas.openxmlformats.org/officeDocument/2006/relationships/hyperlink" Target="https://www.investing.com/pro/pricing?entry=cashflow-statement" TargetMode="External"/><Relationship Id="rId76" Type="http://schemas.openxmlformats.org/officeDocument/2006/relationships/hyperlink" Target="https://www.investing.com/pro/pricing?entry=cashflow-statement" TargetMode="External"/><Relationship Id="rId97" Type="http://schemas.openxmlformats.org/officeDocument/2006/relationships/hyperlink" Target="https://www.investing.com/pro/pricing?entry=cashflow-statement" TargetMode="External"/><Relationship Id="rId104" Type="http://schemas.openxmlformats.org/officeDocument/2006/relationships/hyperlink" Target="https://www.investing.com/pro/pricing?entry=cashflow-statement" TargetMode="External"/><Relationship Id="rId120" Type="http://schemas.openxmlformats.org/officeDocument/2006/relationships/hyperlink" Target="https://www.investing.com/pro/pricing?entry=cashflow-statement" TargetMode="External"/><Relationship Id="rId125" Type="http://schemas.openxmlformats.org/officeDocument/2006/relationships/hyperlink" Target="https://www.investing.com/pro/pricing?entry=cashflow-statement" TargetMode="External"/><Relationship Id="rId141" Type="http://schemas.openxmlformats.org/officeDocument/2006/relationships/hyperlink" Target="https://www.investing.com/pro/pricing?entry=cashflow-statement" TargetMode="External"/><Relationship Id="rId146" Type="http://schemas.openxmlformats.org/officeDocument/2006/relationships/hyperlink" Target="https://www.investing.com/pro/pricing?entry=cashflow-statement" TargetMode="External"/><Relationship Id="rId167" Type="http://schemas.openxmlformats.org/officeDocument/2006/relationships/hyperlink" Target="https://www.investing.com/pro/pricing?entry=cashflow-statement" TargetMode="External"/><Relationship Id="rId7" Type="http://schemas.openxmlformats.org/officeDocument/2006/relationships/hyperlink" Target="https://www.investing.com/pro/pricing?entry=cashflow-statement" TargetMode="External"/><Relationship Id="rId71" Type="http://schemas.openxmlformats.org/officeDocument/2006/relationships/hyperlink" Target="https://www.investing.com/pro/pricing?entry=cashflow-statement" TargetMode="External"/><Relationship Id="rId92" Type="http://schemas.openxmlformats.org/officeDocument/2006/relationships/hyperlink" Target="https://www.investing.com/pro/pricing?entry=cashflow-statement" TargetMode="External"/><Relationship Id="rId162" Type="http://schemas.openxmlformats.org/officeDocument/2006/relationships/hyperlink" Target="https://www.investing.com/pro/pricing?entry=cashflow-statement" TargetMode="External"/><Relationship Id="rId183" Type="http://schemas.openxmlformats.org/officeDocument/2006/relationships/hyperlink" Target="https://www.investing.com/pro/pricing?entry=cashflow-statement" TargetMode="External"/><Relationship Id="rId2" Type="http://schemas.openxmlformats.org/officeDocument/2006/relationships/hyperlink" Target="https://www.investing.com/pro/pricing?entry=cashflow-statement" TargetMode="External"/><Relationship Id="rId29" Type="http://schemas.openxmlformats.org/officeDocument/2006/relationships/hyperlink" Target="https://www.investing.com/pro/pricing?entry=cashflow-statement" TargetMode="External"/><Relationship Id="rId24" Type="http://schemas.openxmlformats.org/officeDocument/2006/relationships/hyperlink" Target="https://www.investing.com/pro/pricing?entry=cashflow-statement" TargetMode="External"/><Relationship Id="rId40" Type="http://schemas.openxmlformats.org/officeDocument/2006/relationships/hyperlink" Target="https://www.investing.com/pro/pricing?entry=cashflow-statement" TargetMode="External"/><Relationship Id="rId45" Type="http://schemas.openxmlformats.org/officeDocument/2006/relationships/hyperlink" Target="https://www.investing.com/pro/pricing?entry=cashflow-statement" TargetMode="External"/><Relationship Id="rId66" Type="http://schemas.openxmlformats.org/officeDocument/2006/relationships/hyperlink" Target="https://www.investing.com/pro/pricing?entry=cashflow-statement" TargetMode="External"/><Relationship Id="rId87" Type="http://schemas.openxmlformats.org/officeDocument/2006/relationships/hyperlink" Target="https://www.investing.com/pro/pricing?entry=cashflow-statement" TargetMode="External"/><Relationship Id="rId110" Type="http://schemas.openxmlformats.org/officeDocument/2006/relationships/hyperlink" Target="https://www.investing.com/pro/pricing?entry=cashflow-statement" TargetMode="External"/><Relationship Id="rId115" Type="http://schemas.openxmlformats.org/officeDocument/2006/relationships/hyperlink" Target="https://www.investing.com/pro/pricing?entry=cashflow-statement" TargetMode="External"/><Relationship Id="rId131" Type="http://schemas.openxmlformats.org/officeDocument/2006/relationships/hyperlink" Target="https://www.investing.com/pro/pricing?entry=cashflow-statement" TargetMode="External"/><Relationship Id="rId136" Type="http://schemas.openxmlformats.org/officeDocument/2006/relationships/hyperlink" Target="https://www.investing.com/pro/pricing?entry=cashflow-statement" TargetMode="External"/><Relationship Id="rId157" Type="http://schemas.openxmlformats.org/officeDocument/2006/relationships/hyperlink" Target="https://www.investing.com/pro/pricing?entry=cashflow-statement" TargetMode="External"/><Relationship Id="rId178" Type="http://schemas.openxmlformats.org/officeDocument/2006/relationships/hyperlink" Target="https://www.investing.com/pro/pricing?entry=cashflow-statement" TargetMode="External"/><Relationship Id="rId61" Type="http://schemas.openxmlformats.org/officeDocument/2006/relationships/hyperlink" Target="https://www.investing.com/pro/pricing?entry=cashflow-statement" TargetMode="External"/><Relationship Id="rId82" Type="http://schemas.openxmlformats.org/officeDocument/2006/relationships/hyperlink" Target="https://www.investing.com/pro/pricing?entry=cashflow-statement" TargetMode="External"/><Relationship Id="rId152" Type="http://schemas.openxmlformats.org/officeDocument/2006/relationships/hyperlink" Target="https://www.investing.com/pro/pricing?entry=cashflow-statement" TargetMode="External"/><Relationship Id="rId173" Type="http://schemas.openxmlformats.org/officeDocument/2006/relationships/hyperlink" Target="https://www.investing.com/pro/pricing?entry=cashflow-statement" TargetMode="External"/><Relationship Id="rId19" Type="http://schemas.openxmlformats.org/officeDocument/2006/relationships/hyperlink" Target="https://www.investing.com/pro/pricing?entry=cashflow-statement" TargetMode="External"/><Relationship Id="rId14" Type="http://schemas.openxmlformats.org/officeDocument/2006/relationships/hyperlink" Target="https://www.investing.com/pro/pricing?entry=cashflow-statement" TargetMode="External"/><Relationship Id="rId30" Type="http://schemas.openxmlformats.org/officeDocument/2006/relationships/hyperlink" Target="https://www.investing.com/pro/pricing?entry=cashflow-statement" TargetMode="External"/><Relationship Id="rId35" Type="http://schemas.openxmlformats.org/officeDocument/2006/relationships/hyperlink" Target="https://www.investing.com/pro/pricing?entry=cashflow-statement" TargetMode="External"/><Relationship Id="rId56" Type="http://schemas.openxmlformats.org/officeDocument/2006/relationships/hyperlink" Target="https://www.investing.com/pro/pricing?entry=cashflow-statement" TargetMode="External"/><Relationship Id="rId77" Type="http://schemas.openxmlformats.org/officeDocument/2006/relationships/hyperlink" Target="https://www.investing.com/pro/pricing?entry=cashflow-statement" TargetMode="External"/><Relationship Id="rId100" Type="http://schemas.openxmlformats.org/officeDocument/2006/relationships/hyperlink" Target="https://www.investing.com/pro/pricing?entry=cashflow-statement" TargetMode="External"/><Relationship Id="rId105" Type="http://schemas.openxmlformats.org/officeDocument/2006/relationships/hyperlink" Target="https://www.investing.com/pro/pricing?entry=cashflow-statement" TargetMode="External"/><Relationship Id="rId126" Type="http://schemas.openxmlformats.org/officeDocument/2006/relationships/hyperlink" Target="https://www.investing.com/pro/pricing?entry=cashflow-statement" TargetMode="External"/><Relationship Id="rId147" Type="http://schemas.openxmlformats.org/officeDocument/2006/relationships/hyperlink" Target="https://www.investing.com/pro/pricing?entry=cashflow-statement" TargetMode="External"/><Relationship Id="rId168" Type="http://schemas.openxmlformats.org/officeDocument/2006/relationships/hyperlink" Target="https://www.investing.com/pro/pricing?entry=cashflow-statement" TargetMode="External"/><Relationship Id="rId8" Type="http://schemas.openxmlformats.org/officeDocument/2006/relationships/hyperlink" Target="https://www.investing.com/pro/pricing?entry=cashflow-statement" TargetMode="External"/><Relationship Id="rId51" Type="http://schemas.openxmlformats.org/officeDocument/2006/relationships/hyperlink" Target="https://www.investing.com/pro/pricing?entry=cashflow-statement" TargetMode="External"/><Relationship Id="rId72" Type="http://schemas.openxmlformats.org/officeDocument/2006/relationships/hyperlink" Target="https://www.investing.com/pro/pricing?entry=cashflow-statement" TargetMode="External"/><Relationship Id="rId93" Type="http://schemas.openxmlformats.org/officeDocument/2006/relationships/hyperlink" Target="https://www.investing.com/pro/pricing?entry=cashflow-statement" TargetMode="External"/><Relationship Id="rId98" Type="http://schemas.openxmlformats.org/officeDocument/2006/relationships/hyperlink" Target="https://www.investing.com/pro/pricing?entry=cashflow-statement" TargetMode="External"/><Relationship Id="rId121" Type="http://schemas.openxmlformats.org/officeDocument/2006/relationships/hyperlink" Target="https://www.investing.com/pro/pricing?entry=cashflow-statement" TargetMode="External"/><Relationship Id="rId142" Type="http://schemas.openxmlformats.org/officeDocument/2006/relationships/hyperlink" Target="https://www.investing.com/pro/pricing?entry=cashflow-statement" TargetMode="External"/><Relationship Id="rId163" Type="http://schemas.openxmlformats.org/officeDocument/2006/relationships/hyperlink" Target="https://www.investing.com/pro/pricing?entry=cashflow-statement" TargetMode="External"/><Relationship Id="rId184" Type="http://schemas.openxmlformats.org/officeDocument/2006/relationships/hyperlink" Target="https://www.investing.com/pro/pricing?entry=cashflow-statement" TargetMode="External"/><Relationship Id="rId3" Type="http://schemas.openxmlformats.org/officeDocument/2006/relationships/hyperlink" Target="https://www.investing.com/pro/pricing?entry=cashflow-statement" TargetMode="External"/><Relationship Id="rId25" Type="http://schemas.openxmlformats.org/officeDocument/2006/relationships/hyperlink" Target="https://www.investing.com/pro/pricing?entry=cashflow-statement" TargetMode="External"/><Relationship Id="rId46" Type="http://schemas.openxmlformats.org/officeDocument/2006/relationships/hyperlink" Target="https://www.investing.com/pro/pricing?entry=cashflow-statement" TargetMode="External"/><Relationship Id="rId67" Type="http://schemas.openxmlformats.org/officeDocument/2006/relationships/hyperlink" Target="https://www.investing.com/pro/pricing?entry=cashflow-statement" TargetMode="External"/><Relationship Id="rId116" Type="http://schemas.openxmlformats.org/officeDocument/2006/relationships/hyperlink" Target="https://www.investing.com/pro/pricing?entry=cashflow-statement" TargetMode="External"/><Relationship Id="rId137" Type="http://schemas.openxmlformats.org/officeDocument/2006/relationships/hyperlink" Target="https://www.investing.com/pro/pricing?entry=cashflow-statement" TargetMode="External"/><Relationship Id="rId158" Type="http://schemas.openxmlformats.org/officeDocument/2006/relationships/hyperlink" Target="https://www.investing.com/pro/pricing?entry=cashflow-statement" TargetMode="External"/><Relationship Id="rId20" Type="http://schemas.openxmlformats.org/officeDocument/2006/relationships/hyperlink" Target="https://www.investing.com/pro/pricing?entry=cashflow-statement" TargetMode="External"/><Relationship Id="rId41" Type="http://schemas.openxmlformats.org/officeDocument/2006/relationships/hyperlink" Target="https://www.investing.com/pro/pricing?entry=cashflow-statement" TargetMode="External"/><Relationship Id="rId62" Type="http://schemas.openxmlformats.org/officeDocument/2006/relationships/hyperlink" Target="https://www.investing.com/pro/pricing?entry=cashflow-statement" TargetMode="External"/><Relationship Id="rId83" Type="http://schemas.openxmlformats.org/officeDocument/2006/relationships/hyperlink" Target="https://www.investing.com/pro/pricing?entry=cashflow-statement" TargetMode="External"/><Relationship Id="rId88" Type="http://schemas.openxmlformats.org/officeDocument/2006/relationships/hyperlink" Target="https://www.investing.com/pro/pricing?entry=cashflow-statement" TargetMode="External"/><Relationship Id="rId111" Type="http://schemas.openxmlformats.org/officeDocument/2006/relationships/hyperlink" Target="https://www.investing.com/pro/pricing?entry=cashflow-statement" TargetMode="External"/><Relationship Id="rId132" Type="http://schemas.openxmlformats.org/officeDocument/2006/relationships/hyperlink" Target="https://www.investing.com/pro/pricing?entry=cashflow-statement" TargetMode="External"/><Relationship Id="rId153" Type="http://schemas.openxmlformats.org/officeDocument/2006/relationships/hyperlink" Target="https://www.investing.com/pro/pricing?entry=cashflow-statement" TargetMode="External"/><Relationship Id="rId174" Type="http://schemas.openxmlformats.org/officeDocument/2006/relationships/hyperlink" Target="https://www.investing.com/pro/pricing?entry=cashflow-statement" TargetMode="External"/><Relationship Id="rId179" Type="http://schemas.openxmlformats.org/officeDocument/2006/relationships/hyperlink" Target="https://www.investing.com/pro/pricing?entry=cashflow-statement" TargetMode="External"/><Relationship Id="rId15" Type="http://schemas.openxmlformats.org/officeDocument/2006/relationships/hyperlink" Target="https://www.investing.com/pro/pricing?entry=cashflow-statement" TargetMode="External"/><Relationship Id="rId36" Type="http://schemas.openxmlformats.org/officeDocument/2006/relationships/hyperlink" Target="https://www.investing.com/pro/pricing?entry=cashflow-statement" TargetMode="External"/><Relationship Id="rId57" Type="http://schemas.openxmlformats.org/officeDocument/2006/relationships/hyperlink" Target="https://www.investing.com/pro/pricing?entry=cashflow-statement" TargetMode="External"/><Relationship Id="rId106" Type="http://schemas.openxmlformats.org/officeDocument/2006/relationships/hyperlink" Target="https://www.investing.com/pro/pricing?entry=cashflow-statement" TargetMode="External"/><Relationship Id="rId127" Type="http://schemas.openxmlformats.org/officeDocument/2006/relationships/hyperlink" Target="https://www.investing.com/pro/pricing?entry=cashflow-statement" TargetMode="External"/><Relationship Id="rId10" Type="http://schemas.openxmlformats.org/officeDocument/2006/relationships/hyperlink" Target="https://www.investing.com/pro/pricing?entry=cashflow-statement" TargetMode="External"/><Relationship Id="rId31" Type="http://schemas.openxmlformats.org/officeDocument/2006/relationships/hyperlink" Target="https://www.investing.com/pro/pricing?entry=cashflow-statement" TargetMode="External"/><Relationship Id="rId52" Type="http://schemas.openxmlformats.org/officeDocument/2006/relationships/hyperlink" Target="https://www.investing.com/pro/pricing?entry=cashflow-statement" TargetMode="External"/><Relationship Id="rId73" Type="http://schemas.openxmlformats.org/officeDocument/2006/relationships/hyperlink" Target="https://www.investing.com/pro/pricing?entry=cashflow-statement" TargetMode="External"/><Relationship Id="rId78" Type="http://schemas.openxmlformats.org/officeDocument/2006/relationships/hyperlink" Target="https://www.investing.com/pro/pricing?entry=cashflow-statement" TargetMode="External"/><Relationship Id="rId94" Type="http://schemas.openxmlformats.org/officeDocument/2006/relationships/hyperlink" Target="https://www.investing.com/pro/pricing?entry=cashflow-statement" TargetMode="External"/><Relationship Id="rId99" Type="http://schemas.openxmlformats.org/officeDocument/2006/relationships/hyperlink" Target="https://www.investing.com/pro/pricing?entry=cashflow-statement" TargetMode="External"/><Relationship Id="rId101" Type="http://schemas.openxmlformats.org/officeDocument/2006/relationships/hyperlink" Target="https://www.investing.com/pro/pricing?entry=cashflow-statement" TargetMode="External"/><Relationship Id="rId122" Type="http://schemas.openxmlformats.org/officeDocument/2006/relationships/hyperlink" Target="https://www.investing.com/pro/pricing?entry=cashflow-statement" TargetMode="External"/><Relationship Id="rId143" Type="http://schemas.openxmlformats.org/officeDocument/2006/relationships/hyperlink" Target="https://www.investing.com/pro/pricing?entry=cashflow-statement" TargetMode="External"/><Relationship Id="rId148" Type="http://schemas.openxmlformats.org/officeDocument/2006/relationships/hyperlink" Target="https://www.investing.com/pro/pricing?entry=cashflow-statement" TargetMode="External"/><Relationship Id="rId164" Type="http://schemas.openxmlformats.org/officeDocument/2006/relationships/hyperlink" Target="https://www.investing.com/pro/pricing?entry=cashflow-statement" TargetMode="External"/><Relationship Id="rId169" Type="http://schemas.openxmlformats.org/officeDocument/2006/relationships/hyperlink" Target="https://www.investing.com/pro/pricing?entry=cashflow-statement" TargetMode="External"/><Relationship Id="rId185" Type="http://schemas.openxmlformats.org/officeDocument/2006/relationships/hyperlink" Target="https://www.investing.com/pro/pricing?entry=cashflow-statement" TargetMode="External"/><Relationship Id="rId4" Type="http://schemas.openxmlformats.org/officeDocument/2006/relationships/hyperlink" Target="https://www.investing.com/pro/pricing?entry=cashflow-statement" TargetMode="External"/><Relationship Id="rId9" Type="http://schemas.openxmlformats.org/officeDocument/2006/relationships/hyperlink" Target="https://www.investing.com/pro/pricing?entry=cashflow-statement" TargetMode="External"/><Relationship Id="rId180" Type="http://schemas.openxmlformats.org/officeDocument/2006/relationships/hyperlink" Target="https://www.investing.com/pro/pricing?entry=cashflow-statement" TargetMode="External"/><Relationship Id="rId26" Type="http://schemas.openxmlformats.org/officeDocument/2006/relationships/hyperlink" Target="https://www.investing.com/pro/pricing?entry=cashflow-statement" TargetMode="External"/><Relationship Id="rId47" Type="http://schemas.openxmlformats.org/officeDocument/2006/relationships/hyperlink" Target="https://www.investing.com/pro/pricing?entry=cashflow-statement" TargetMode="External"/><Relationship Id="rId68" Type="http://schemas.openxmlformats.org/officeDocument/2006/relationships/hyperlink" Target="https://www.investing.com/pro/pricing?entry=cashflow-statement" TargetMode="External"/><Relationship Id="rId89" Type="http://schemas.openxmlformats.org/officeDocument/2006/relationships/hyperlink" Target="https://www.investing.com/pro/pricing?entry=cashflow-statement" TargetMode="External"/><Relationship Id="rId112" Type="http://schemas.openxmlformats.org/officeDocument/2006/relationships/hyperlink" Target="https://www.investing.com/pro/pricing?entry=cashflow-statement" TargetMode="External"/><Relationship Id="rId133" Type="http://schemas.openxmlformats.org/officeDocument/2006/relationships/hyperlink" Target="https://www.investing.com/pro/pricing?entry=cashflow-statement" TargetMode="External"/><Relationship Id="rId154" Type="http://schemas.openxmlformats.org/officeDocument/2006/relationships/hyperlink" Target="https://www.investing.com/pro/pricing?entry=cashflow-statement" TargetMode="External"/><Relationship Id="rId175" Type="http://schemas.openxmlformats.org/officeDocument/2006/relationships/hyperlink" Target="https://www.investing.com/pro/pricing?entry=cashflow-statement" TargetMode="External"/><Relationship Id="rId16" Type="http://schemas.openxmlformats.org/officeDocument/2006/relationships/hyperlink" Target="https://www.investing.com/pro/pricing?entry=cashflow-statement" TargetMode="External"/><Relationship Id="rId37" Type="http://schemas.openxmlformats.org/officeDocument/2006/relationships/hyperlink" Target="https://www.investing.com/pro/pricing?entry=cashflow-statement" TargetMode="External"/><Relationship Id="rId58" Type="http://schemas.openxmlformats.org/officeDocument/2006/relationships/hyperlink" Target="https://www.investing.com/pro/pricing?entry=cashflow-statement" TargetMode="External"/><Relationship Id="rId79" Type="http://schemas.openxmlformats.org/officeDocument/2006/relationships/hyperlink" Target="https://www.investing.com/pro/pricing?entry=cashflow-statement" TargetMode="External"/><Relationship Id="rId102" Type="http://schemas.openxmlformats.org/officeDocument/2006/relationships/hyperlink" Target="https://www.investing.com/pro/pricing?entry=cashflow-statement" TargetMode="External"/><Relationship Id="rId123" Type="http://schemas.openxmlformats.org/officeDocument/2006/relationships/hyperlink" Target="https://www.investing.com/pro/pricing?entry=cashflow-statement" TargetMode="External"/><Relationship Id="rId144" Type="http://schemas.openxmlformats.org/officeDocument/2006/relationships/hyperlink" Target="https://www.investing.com/pro/pricing?entry=cashflow-statement" TargetMode="External"/><Relationship Id="rId90" Type="http://schemas.openxmlformats.org/officeDocument/2006/relationships/hyperlink" Target="https://www.investing.com/pro/pricing?entry=cashflow-statement" TargetMode="External"/><Relationship Id="rId165" Type="http://schemas.openxmlformats.org/officeDocument/2006/relationships/hyperlink" Target="https://www.investing.com/pro/pricing?entry=cashflow-statement" TargetMode="External"/><Relationship Id="rId27" Type="http://schemas.openxmlformats.org/officeDocument/2006/relationships/hyperlink" Target="https://www.investing.com/pro/pricing?entry=cashflow-statement" TargetMode="External"/><Relationship Id="rId48" Type="http://schemas.openxmlformats.org/officeDocument/2006/relationships/hyperlink" Target="https://www.investing.com/pro/pricing?entry=cashflow-statement" TargetMode="External"/><Relationship Id="rId69" Type="http://schemas.openxmlformats.org/officeDocument/2006/relationships/hyperlink" Target="https://www.investing.com/pro/pricing?entry=cashflow-statement" TargetMode="External"/><Relationship Id="rId113" Type="http://schemas.openxmlformats.org/officeDocument/2006/relationships/hyperlink" Target="https://www.investing.com/pro/pricing?entry=cashflow-statement" TargetMode="External"/><Relationship Id="rId134" Type="http://schemas.openxmlformats.org/officeDocument/2006/relationships/hyperlink" Target="https://www.investing.com/pro/pricing?entry=cashflow-statement" TargetMode="External"/><Relationship Id="rId80" Type="http://schemas.openxmlformats.org/officeDocument/2006/relationships/hyperlink" Target="https://www.investing.com/pro/pricing?entry=cashflow-statement" TargetMode="External"/><Relationship Id="rId155" Type="http://schemas.openxmlformats.org/officeDocument/2006/relationships/hyperlink" Target="https://www.investing.com/pro/pricing?entry=cashflow-statement" TargetMode="External"/><Relationship Id="rId176" Type="http://schemas.openxmlformats.org/officeDocument/2006/relationships/hyperlink" Target="https://www.investing.com/pro/pricing?entry=cashflow-statement" TargetMode="External"/><Relationship Id="rId17" Type="http://schemas.openxmlformats.org/officeDocument/2006/relationships/hyperlink" Target="https://www.investing.com/pro/pricing?entry=cashflow-statement" TargetMode="External"/><Relationship Id="rId38" Type="http://schemas.openxmlformats.org/officeDocument/2006/relationships/hyperlink" Target="https://www.investing.com/pro/pricing?entry=cashflow-statement" TargetMode="External"/><Relationship Id="rId59" Type="http://schemas.openxmlformats.org/officeDocument/2006/relationships/hyperlink" Target="https://www.investing.com/pro/pricing?entry=cashflow-statement" TargetMode="External"/><Relationship Id="rId103" Type="http://schemas.openxmlformats.org/officeDocument/2006/relationships/hyperlink" Target="https://www.investing.com/pro/pricing?entry=cashflow-statement" TargetMode="External"/><Relationship Id="rId124" Type="http://schemas.openxmlformats.org/officeDocument/2006/relationships/hyperlink" Target="https://www.investing.com/pro/pricing?entry=cashflow-statement" TargetMode="External"/><Relationship Id="rId70" Type="http://schemas.openxmlformats.org/officeDocument/2006/relationships/hyperlink" Target="https://www.investing.com/pro/pricing?entry=cashflow-statement" TargetMode="External"/><Relationship Id="rId91" Type="http://schemas.openxmlformats.org/officeDocument/2006/relationships/hyperlink" Target="https://www.investing.com/pro/pricing?entry=cashflow-statement" TargetMode="External"/><Relationship Id="rId145" Type="http://schemas.openxmlformats.org/officeDocument/2006/relationships/hyperlink" Target="https://www.investing.com/pro/pricing?entry=cashflow-statement" TargetMode="External"/><Relationship Id="rId166" Type="http://schemas.openxmlformats.org/officeDocument/2006/relationships/hyperlink" Target="https://www.investing.com/pro/pricing?entry=cashflow-statement" TargetMode="External"/><Relationship Id="rId1" Type="http://schemas.openxmlformats.org/officeDocument/2006/relationships/hyperlink" Target="https://www.investing.com/pro/pricing?entry=cashflow-statement" TargetMode="External"/><Relationship Id="rId28" Type="http://schemas.openxmlformats.org/officeDocument/2006/relationships/hyperlink" Target="https://www.investing.com/pro/pricing?entry=cashflow-statement" TargetMode="External"/><Relationship Id="rId49" Type="http://schemas.openxmlformats.org/officeDocument/2006/relationships/hyperlink" Target="https://www.investing.com/pro/pricing?entry=cashflow-statement" TargetMode="External"/><Relationship Id="rId114" Type="http://schemas.openxmlformats.org/officeDocument/2006/relationships/hyperlink" Target="https://www.investing.com/pro/pricing?entry=cashflow-statement" TargetMode="External"/><Relationship Id="rId60" Type="http://schemas.openxmlformats.org/officeDocument/2006/relationships/hyperlink" Target="https://www.investing.com/pro/pricing?entry=cashflow-statement" TargetMode="External"/><Relationship Id="rId81" Type="http://schemas.openxmlformats.org/officeDocument/2006/relationships/hyperlink" Target="https://www.investing.com/pro/pricing?entry=cashflow-statement" TargetMode="External"/><Relationship Id="rId135" Type="http://schemas.openxmlformats.org/officeDocument/2006/relationships/hyperlink" Target="https://www.investing.com/pro/pricing?entry=cashflow-statement" TargetMode="External"/><Relationship Id="rId156" Type="http://schemas.openxmlformats.org/officeDocument/2006/relationships/hyperlink" Target="https://www.investing.com/pro/pricing?entry=cashflow-statement" TargetMode="External"/><Relationship Id="rId177" Type="http://schemas.openxmlformats.org/officeDocument/2006/relationships/hyperlink" Target="https://www.investing.com/pro/pricing?entry=cashflow-stat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2CC3-4D26-4641-A149-C6ADC52AA748}">
  <dimension ref="A1:L88"/>
  <sheetViews>
    <sheetView topLeftCell="B1" workbookViewId="0">
      <selection activeCell="H86" sqref="H86"/>
    </sheetView>
  </sheetViews>
  <sheetFormatPr defaultRowHeight="15"/>
  <cols>
    <col min="8" max="8" width="16.140625" customWidth="1"/>
    <col min="9" max="9" width="15.5703125" customWidth="1"/>
    <col min="10" max="10" width="15.85546875" customWidth="1"/>
    <col min="11" max="11" width="19.85546875" customWidth="1"/>
    <col min="12" max="12" width="16.85546875" customWidth="1"/>
  </cols>
  <sheetData>
    <row r="1" spans="1:12" ht="16.5">
      <c r="A1" s="60" t="s">
        <v>0</v>
      </c>
      <c r="B1" s="29"/>
      <c r="C1" s="30"/>
      <c r="D1" s="30"/>
      <c r="E1" s="30"/>
      <c r="F1" s="30"/>
      <c r="H1" s="30">
        <v>2021</v>
      </c>
      <c r="I1" s="30">
        <v>2022</v>
      </c>
      <c r="J1" s="30">
        <v>2023</v>
      </c>
      <c r="K1" s="30">
        <v>2024</v>
      </c>
      <c r="L1" s="30">
        <v>2025</v>
      </c>
    </row>
    <row r="2" spans="1:12" ht="17.25" thickBot="1">
      <c r="A2" s="61"/>
      <c r="B2" s="1"/>
      <c r="C2" s="10"/>
      <c r="D2" s="10"/>
      <c r="E2" s="10"/>
      <c r="F2" s="10"/>
      <c r="H2" s="10">
        <v>45747</v>
      </c>
      <c r="I2" s="10">
        <v>45747</v>
      </c>
      <c r="J2" s="10">
        <v>45747</v>
      </c>
      <c r="K2" s="10">
        <v>45747</v>
      </c>
      <c r="L2" s="10">
        <v>45747</v>
      </c>
    </row>
    <row r="3" spans="1:12" ht="17.25" thickBot="1">
      <c r="A3" s="2"/>
      <c r="B3" s="4" t="s">
        <v>1</v>
      </c>
      <c r="C3" s="11"/>
      <c r="D3" s="11"/>
      <c r="E3" s="11"/>
      <c r="F3" s="11"/>
      <c r="G3" s="11"/>
      <c r="H3" s="14">
        <v>1393264.2</v>
      </c>
      <c r="I3" s="14">
        <v>1587505.7</v>
      </c>
      <c r="J3" s="14">
        <v>1861940.4</v>
      </c>
      <c r="K3" s="14">
        <v>2251889.9</v>
      </c>
      <c r="L3" s="14">
        <v>2598063.1</v>
      </c>
    </row>
    <row r="4" spans="1:12" ht="16.5">
      <c r="A4" s="57"/>
      <c r="B4" s="57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17.25" thickBot="1">
      <c r="A5" s="2"/>
      <c r="B5" s="4" t="s">
        <v>2</v>
      </c>
      <c r="C5" s="11"/>
      <c r="D5" s="11"/>
      <c r="E5" s="11"/>
      <c r="F5" s="11"/>
      <c r="G5" s="11"/>
      <c r="H5" s="12">
        <v>-5.7500000000000002E-2</v>
      </c>
      <c r="I5" s="13">
        <v>0.1394</v>
      </c>
      <c r="J5" s="13">
        <v>0.1729</v>
      </c>
      <c r="K5" s="13">
        <v>0.2094</v>
      </c>
      <c r="L5" s="13">
        <v>0.1537</v>
      </c>
    </row>
    <row r="6" spans="1:12" ht="16.5">
      <c r="A6" s="57"/>
      <c r="B6" s="57"/>
      <c r="C6" s="59"/>
      <c r="D6" s="59"/>
      <c r="E6" s="59"/>
      <c r="F6" s="59"/>
      <c r="G6" s="59"/>
      <c r="H6" s="59"/>
      <c r="I6" s="59"/>
      <c r="J6" s="59"/>
      <c r="K6" s="59"/>
      <c r="L6" s="59"/>
    </row>
    <row r="7" spans="1:12" ht="17.25" thickBot="1">
      <c r="A7" s="2"/>
      <c r="B7" s="4" t="s">
        <v>3</v>
      </c>
      <c r="C7" s="11"/>
      <c r="D7" s="11"/>
      <c r="E7" s="11"/>
      <c r="F7" s="11"/>
      <c r="G7" s="11"/>
      <c r="H7" s="14">
        <v>872385.2</v>
      </c>
      <c r="I7" s="14">
        <v>973808.7</v>
      </c>
      <c r="J7" s="14">
        <v>1134006.3</v>
      </c>
      <c r="K7" s="14">
        <v>1412145.9</v>
      </c>
      <c r="L7" s="14">
        <v>1648291.2</v>
      </c>
    </row>
    <row r="8" spans="1:12" ht="16.5">
      <c r="A8" s="57"/>
      <c r="B8" s="57"/>
      <c r="C8" s="59"/>
      <c r="D8" s="59"/>
      <c r="E8" s="59"/>
      <c r="F8" s="59"/>
      <c r="G8" s="59"/>
      <c r="H8" s="59"/>
      <c r="I8" s="59"/>
      <c r="J8" s="59"/>
      <c r="K8" s="59"/>
      <c r="L8" s="59"/>
    </row>
    <row r="9" spans="1:12" ht="17.25" thickBot="1">
      <c r="A9" s="2"/>
      <c r="B9" s="4" t="s">
        <v>4</v>
      </c>
      <c r="C9" s="11"/>
      <c r="D9" s="11"/>
      <c r="E9" s="11"/>
      <c r="F9" s="11"/>
      <c r="G9" s="11"/>
      <c r="H9" s="22">
        <v>520879</v>
      </c>
      <c r="I9" s="22">
        <v>613697</v>
      </c>
      <c r="J9" s="14">
        <v>727934.1</v>
      </c>
      <c r="K9" s="22">
        <v>839744</v>
      </c>
      <c r="L9" s="14">
        <v>949771.9</v>
      </c>
    </row>
    <row r="10" spans="1:12" ht="16.5">
      <c r="A10" s="57"/>
      <c r="B10" s="57"/>
      <c r="C10" s="59"/>
      <c r="D10" s="59"/>
      <c r="E10" s="59"/>
      <c r="F10" s="59"/>
      <c r="G10" s="59"/>
      <c r="H10" s="59"/>
      <c r="I10" s="59"/>
      <c r="J10" s="59"/>
      <c r="K10" s="59"/>
      <c r="L10" s="59"/>
    </row>
    <row r="11" spans="1:12" ht="17.25" thickBot="1">
      <c r="A11" s="2"/>
      <c r="B11" s="4" t="s">
        <v>5</v>
      </c>
      <c r="C11" s="11"/>
      <c r="D11" s="11"/>
      <c r="E11" s="11"/>
      <c r="F11" s="11"/>
      <c r="G11" s="11"/>
      <c r="H11" s="13">
        <v>4.5499999999999999E-2</v>
      </c>
      <c r="I11" s="13">
        <v>0.1782</v>
      </c>
      <c r="J11" s="13">
        <v>0.18609999999999999</v>
      </c>
      <c r="K11" s="13">
        <v>0.15359999999999999</v>
      </c>
      <c r="L11" s="13">
        <v>0.13100000000000001</v>
      </c>
    </row>
    <row r="12" spans="1:12" ht="16.5">
      <c r="A12" s="57"/>
      <c r="B12" s="57"/>
      <c r="C12" s="59"/>
      <c r="D12" s="59"/>
      <c r="E12" s="59"/>
      <c r="F12" s="59"/>
      <c r="G12" s="59"/>
      <c r="H12" s="59"/>
      <c r="I12" s="59"/>
      <c r="J12" s="59"/>
      <c r="K12" s="59"/>
      <c r="L12" s="59"/>
    </row>
    <row r="13" spans="1:12" ht="17.25" thickBot="1">
      <c r="A13" s="2"/>
      <c r="B13" s="4" t="s">
        <v>6</v>
      </c>
      <c r="C13" s="11"/>
      <c r="D13" s="11"/>
      <c r="E13" s="11"/>
      <c r="F13" s="11"/>
      <c r="G13" s="11"/>
      <c r="H13" s="15">
        <v>0.37390000000000001</v>
      </c>
      <c r="I13" s="15">
        <v>0.3866</v>
      </c>
      <c r="J13" s="15">
        <v>0.39100000000000001</v>
      </c>
      <c r="K13" s="15">
        <v>0.37290000000000001</v>
      </c>
      <c r="L13" s="15">
        <v>0.36559999999999998</v>
      </c>
    </row>
    <row r="14" spans="1:12" ht="16.5">
      <c r="A14" s="57"/>
      <c r="B14" s="57"/>
      <c r="C14" s="59"/>
      <c r="D14" s="59"/>
      <c r="E14" s="59"/>
      <c r="F14" s="59"/>
      <c r="G14" s="59"/>
      <c r="H14" s="59"/>
      <c r="I14" s="59"/>
      <c r="J14" s="59"/>
      <c r="K14" s="59"/>
      <c r="L14" s="59"/>
    </row>
    <row r="15" spans="1:12" ht="17.25" thickBot="1">
      <c r="A15" s="2"/>
      <c r="B15" s="4" t="s">
        <v>7</v>
      </c>
      <c r="C15" s="11"/>
      <c r="D15" s="11"/>
      <c r="E15" s="11"/>
      <c r="F15" s="11"/>
      <c r="G15" s="11"/>
      <c r="H15" s="14">
        <v>359103.1</v>
      </c>
      <c r="I15" s="14">
        <v>438536.4</v>
      </c>
      <c r="J15" s="14">
        <v>525565.30000000005</v>
      </c>
      <c r="K15" s="14">
        <v>600709.30000000005</v>
      </c>
      <c r="L15" s="22">
        <v>685611</v>
      </c>
    </row>
    <row r="16" spans="1:12" ht="16.5">
      <c r="A16" s="4"/>
      <c r="B16" s="4" t="s">
        <v>8</v>
      </c>
      <c r="C16" s="16"/>
      <c r="D16" s="16"/>
      <c r="E16" s="16"/>
      <c r="F16" s="16"/>
      <c r="G16" s="16"/>
      <c r="H16" s="17">
        <v>7.0599999999999996E-2</v>
      </c>
      <c r="I16" s="17">
        <v>0.22120000000000001</v>
      </c>
      <c r="J16" s="17">
        <v>0.19850000000000001</v>
      </c>
      <c r="K16" s="17">
        <v>0.14299999999999999</v>
      </c>
      <c r="L16" s="17">
        <v>0.14130000000000001</v>
      </c>
    </row>
    <row r="17" spans="1:12" ht="16.5">
      <c r="A17" s="4"/>
      <c r="B17" s="4" t="s">
        <v>9</v>
      </c>
      <c r="C17" s="16"/>
      <c r="D17" s="16"/>
      <c r="E17" s="16"/>
      <c r="F17" s="16"/>
      <c r="G17" s="16"/>
      <c r="H17" s="18" t="s">
        <v>10</v>
      </c>
      <c r="I17" s="18" t="s">
        <v>10</v>
      </c>
      <c r="J17" s="18" t="s">
        <v>10</v>
      </c>
      <c r="K17" s="18" t="s">
        <v>10</v>
      </c>
      <c r="L17" s="18" t="s">
        <v>10</v>
      </c>
    </row>
    <row r="18" spans="1:12" ht="16.5">
      <c r="A18" s="4"/>
      <c r="B18" s="4" t="s">
        <v>11</v>
      </c>
      <c r="C18" s="16"/>
      <c r="D18" s="16"/>
      <c r="E18" s="16"/>
      <c r="F18" s="16"/>
      <c r="G18" s="16"/>
      <c r="H18" s="19">
        <v>331164.09999999998</v>
      </c>
      <c r="I18" s="19">
        <v>409357.5</v>
      </c>
      <c r="J18" s="19">
        <v>491867.9</v>
      </c>
      <c r="K18" s="19">
        <v>564046.69999999995</v>
      </c>
      <c r="L18" s="19">
        <v>644705.9</v>
      </c>
    </row>
    <row r="19" spans="1:12" ht="16.5">
      <c r="A19" s="4"/>
      <c r="B19" s="4" t="s">
        <v>12</v>
      </c>
      <c r="C19" s="16"/>
      <c r="D19" s="16"/>
      <c r="E19" s="16"/>
      <c r="F19" s="16"/>
      <c r="G19" s="16"/>
      <c r="H19" s="18">
        <v>-193.5</v>
      </c>
      <c r="I19" s="18">
        <v>-201.4</v>
      </c>
      <c r="J19" s="18">
        <v>-144.6</v>
      </c>
      <c r="K19" s="18">
        <v>-84.4</v>
      </c>
      <c r="L19" s="18">
        <v>-77.099999999999994</v>
      </c>
    </row>
    <row r="20" spans="1:12" ht="17.25" thickBot="1">
      <c r="A20" s="2"/>
      <c r="B20" s="4" t="s">
        <v>13</v>
      </c>
      <c r="C20" s="11"/>
      <c r="D20" s="11"/>
      <c r="E20" s="11"/>
      <c r="F20" s="11"/>
      <c r="G20" s="11"/>
      <c r="H20" s="14">
        <v>161775.9</v>
      </c>
      <c r="I20" s="14">
        <v>175160.6</v>
      </c>
      <c r="J20" s="14">
        <v>202368.8</v>
      </c>
      <c r="K20" s="14">
        <v>239034.7</v>
      </c>
      <c r="L20" s="14">
        <v>264160.90000000002</v>
      </c>
    </row>
    <row r="21" spans="1:12" ht="16.5">
      <c r="A21" s="57"/>
      <c r="B21" s="57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17.25" thickBot="1">
      <c r="A22" s="2"/>
      <c r="B22" s="4" t="s">
        <v>14</v>
      </c>
      <c r="C22" s="11"/>
      <c r="D22" s="11"/>
      <c r="E22" s="11"/>
      <c r="F22" s="11"/>
      <c r="G22" s="11"/>
      <c r="H22" s="12">
        <v>-6.3E-3</v>
      </c>
      <c r="I22" s="13">
        <v>8.2699999999999996E-2</v>
      </c>
      <c r="J22" s="13">
        <v>0.15529999999999999</v>
      </c>
      <c r="K22" s="13">
        <v>0.1812</v>
      </c>
      <c r="L22" s="13">
        <v>0.1051</v>
      </c>
    </row>
    <row r="23" spans="1:12" ht="16.5">
      <c r="A23" s="57"/>
      <c r="B23" s="57"/>
      <c r="C23" s="59"/>
      <c r="D23" s="59"/>
      <c r="E23" s="59"/>
      <c r="F23" s="59"/>
      <c r="G23" s="59"/>
      <c r="H23" s="59"/>
      <c r="I23" s="59"/>
      <c r="J23" s="59"/>
      <c r="K23" s="59"/>
      <c r="L23" s="59"/>
    </row>
    <row r="24" spans="1:12" ht="17.25" thickBot="1">
      <c r="A24" s="2"/>
      <c r="B24" s="4" t="s">
        <v>15</v>
      </c>
      <c r="C24" s="11"/>
      <c r="D24" s="11"/>
      <c r="E24" s="11"/>
      <c r="F24" s="11"/>
      <c r="G24" s="11"/>
      <c r="H24" s="15">
        <v>0.11609999999999999</v>
      </c>
      <c r="I24" s="15">
        <v>0.1103</v>
      </c>
      <c r="J24" s="15">
        <v>0.1087</v>
      </c>
      <c r="K24" s="15">
        <v>0.1061</v>
      </c>
      <c r="L24" s="15">
        <v>0.1017</v>
      </c>
    </row>
    <row r="25" spans="1:12" ht="16.5">
      <c r="A25" s="57"/>
      <c r="B25" s="57"/>
      <c r="C25" s="59"/>
      <c r="D25" s="59"/>
      <c r="E25" s="59"/>
      <c r="F25" s="59"/>
      <c r="G25" s="59"/>
      <c r="H25" s="59"/>
      <c r="I25" s="59"/>
      <c r="J25" s="59"/>
      <c r="K25" s="59"/>
      <c r="L25" s="59"/>
    </row>
    <row r="26" spans="1:12" ht="17.25" thickBot="1">
      <c r="A26" s="2"/>
      <c r="B26" s="4" t="s">
        <v>16</v>
      </c>
      <c r="C26" s="11"/>
      <c r="D26" s="11"/>
      <c r="E26" s="11"/>
      <c r="F26" s="11"/>
      <c r="G26" s="11"/>
      <c r="H26" s="14">
        <v>-39045.4</v>
      </c>
      <c r="I26" s="14">
        <v>-30554.2</v>
      </c>
      <c r="J26" s="14">
        <v>-31776.799999999999</v>
      </c>
      <c r="K26" s="14">
        <v>-35365.1</v>
      </c>
      <c r="L26" s="14">
        <v>-33308.400000000001</v>
      </c>
    </row>
    <row r="27" spans="1:12" ht="16.5">
      <c r="A27" s="57"/>
      <c r="B27" s="57"/>
      <c r="C27" s="59"/>
      <c r="D27" s="59"/>
      <c r="E27" s="59"/>
      <c r="F27" s="59"/>
      <c r="G27" s="59"/>
      <c r="H27" s="59"/>
      <c r="I27" s="59"/>
      <c r="J27" s="59"/>
      <c r="K27" s="59"/>
      <c r="L27" s="59"/>
    </row>
    <row r="28" spans="1:12" ht="17.25" thickBot="1">
      <c r="A28" s="2"/>
      <c r="B28" s="4" t="s">
        <v>17</v>
      </c>
      <c r="C28" s="11"/>
      <c r="D28" s="11"/>
      <c r="E28" s="11"/>
      <c r="F28" s="11"/>
      <c r="G28" s="11"/>
      <c r="H28" s="12">
        <v>-0.43380000000000002</v>
      </c>
      <c r="I28" s="13">
        <v>0.2175</v>
      </c>
      <c r="J28" s="20">
        <v>-0.04</v>
      </c>
      <c r="K28" s="12">
        <v>-0.1129</v>
      </c>
      <c r="L28" s="13">
        <v>5.8200000000000002E-2</v>
      </c>
    </row>
    <row r="29" spans="1:12" ht="16.5">
      <c r="A29" s="57"/>
      <c r="B29" s="57"/>
      <c r="C29" s="59"/>
      <c r="D29" s="59"/>
      <c r="E29" s="59"/>
      <c r="F29" s="59"/>
      <c r="G29" s="59"/>
      <c r="H29" s="59"/>
      <c r="I29" s="59"/>
      <c r="J29" s="59"/>
      <c r="K29" s="59"/>
      <c r="L29" s="59"/>
    </row>
    <row r="30" spans="1:12" ht="17.25" thickBot="1">
      <c r="A30" s="2"/>
      <c r="B30" s="4" t="s">
        <v>18</v>
      </c>
      <c r="C30" s="11"/>
      <c r="D30" s="11"/>
      <c r="E30" s="11"/>
      <c r="F30" s="11"/>
      <c r="G30" s="11"/>
      <c r="H30" s="14">
        <v>-39045.4</v>
      </c>
      <c r="I30" s="14">
        <v>-30554.2</v>
      </c>
      <c r="J30" s="14">
        <v>-31776.799999999999</v>
      </c>
      <c r="K30" s="14">
        <v>-35365.1</v>
      </c>
      <c r="L30" s="14">
        <v>-33308.400000000001</v>
      </c>
    </row>
    <row r="31" spans="1:12" ht="16.5">
      <c r="A31" s="57"/>
      <c r="B31" s="57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 ht="17.25" thickBot="1">
      <c r="A32" s="2"/>
      <c r="B32" s="4" t="s">
        <v>19</v>
      </c>
      <c r="C32" s="11"/>
      <c r="D32" s="11"/>
      <c r="E32" s="11"/>
      <c r="F32" s="11"/>
      <c r="G32" s="11"/>
      <c r="H32" s="21" t="s">
        <v>10</v>
      </c>
      <c r="I32" s="21" t="s">
        <v>10</v>
      </c>
      <c r="J32" s="21" t="s">
        <v>10</v>
      </c>
      <c r="K32" s="21" t="s">
        <v>10</v>
      </c>
      <c r="L32" s="21" t="s">
        <v>10</v>
      </c>
    </row>
    <row r="33" spans="1:12" ht="16.5">
      <c r="A33" s="57"/>
      <c r="B33" s="57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2" ht="17.25" thickBot="1">
      <c r="A34" s="2"/>
      <c r="B34" s="4" t="s">
        <v>20</v>
      </c>
      <c r="C34" s="11"/>
      <c r="D34" s="11"/>
      <c r="E34" s="11"/>
      <c r="F34" s="11"/>
      <c r="G34" s="11"/>
      <c r="H34" s="21">
        <v>55</v>
      </c>
      <c r="I34" s="21">
        <v>579.1</v>
      </c>
      <c r="J34" s="14">
        <v>-1237.3</v>
      </c>
      <c r="K34" s="21">
        <v>-319.60000000000002</v>
      </c>
      <c r="L34" s="21">
        <v>-175.9</v>
      </c>
    </row>
    <row r="35" spans="1:12" ht="16.5">
      <c r="A35" s="57"/>
      <c r="B35" s="57"/>
      <c r="C35" s="59"/>
      <c r="D35" s="59"/>
      <c r="E35" s="59"/>
      <c r="F35" s="59"/>
      <c r="G35" s="59"/>
      <c r="H35" s="59"/>
      <c r="I35" s="59"/>
      <c r="J35" s="59"/>
      <c r="K35" s="59"/>
      <c r="L35" s="59"/>
    </row>
    <row r="36" spans="1:12" ht="17.25" thickBot="1">
      <c r="A36" s="2"/>
      <c r="B36" s="4" t="s">
        <v>21</v>
      </c>
      <c r="C36" s="11"/>
      <c r="D36" s="11"/>
      <c r="E36" s="11"/>
      <c r="F36" s="11"/>
      <c r="G36" s="11"/>
      <c r="H36" s="14">
        <v>122785.5</v>
      </c>
      <c r="I36" s="14">
        <v>145185.5</v>
      </c>
      <c r="J36" s="14">
        <v>169354.7</v>
      </c>
      <c r="K36" s="22">
        <v>203350</v>
      </c>
      <c r="L36" s="14">
        <v>230676.6</v>
      </c>
    </row>
    <row r="37" spans="1:12" ht="16.5">
      <c r="A37" s="57"/>
      <c r="B37" s="57"/>
      <c r="C37" s="59"/>
      <c r="D37" s="59"/>
      <c r="E37" s="59"/>
      <c r="F37" s="59"/>
      <c r="G37" s="59"/>
      <c r="H37" s="59"/>
      <c r="I37" s="59"/>
      <c r="J37" s="59"/>
      <c r="K37" s="59"/>
      <c r="L37" s="59"/>
    </row>
    <row r="38" spans="1:12" ht="17.25" thickBot="1">
      <c r="A38" s="2"/>
      <c r="B38" s="4" t="s">
        <v>22</v>
      </c>
      <c r="C38" s="11"/>
      <c r="D38" s="11"/>
      <c r="E38" s="11"/>
      <c r="F38" s="11"/>
      <c r="G38" s="11"/>
      <c r="H38" s="21">
        <v>626.1</v>
      </c>
      <c r="I38" s="21">
        <v>176</v>
      </c>
      <c r="J38" s="21">
        <v>613.70000000000005</v>
      </c>
      <c r="K38" s="21">
        <v>735.1</v>
      </c>
      <c r="L38" s="21">
        <v>452.5</v>
      </c>
    </row>
    <row r="39" spans="1:12" ht="16.5">
      <c r="A39" s="57"/>
      <c r="B39" s="57"/>
      <c r="C39" s="59"/>
      <c r="D39" s="59"/>
      <c r="E39" s="59"/>
      <c r="F39" s="59"/>
      <c r="G39" s="59"/>
      <c r="H39" s="59"/>
      <c r="I39" s="59"/>
      <c r="J39" s="59"/>
      <c r="K39" s="59"/>
      <c r="L39" s="59"/>
    </row>
    <row r="40" spans="1:12" ht="17.25" thickBot="1">
      <c r="A40" s="2"/>
      <c r="B40" s="4" t="s">
        <v>23</v>
      </c>
      <c r="C40" s="11"/>
      <c r="D40" s="11"/>
      <c r="E40" s="11"/>
      <c r="F40" s="11"/>
      <c r="G40" s="11"/>
      <c r="H40" s="21">
        <v>-891.4</v>
      </c>
      <c r="I40" s="21">
        <v>-99.2</v>
      </c>
      <c r="J40" s="14">
        <v>-1180.5</v>
      </c>
      <c r="K40" s="21">
        <v>-76.3</v>
      </c>
      <c r="L40" s="21">
        <v>-229.6</v>
      </c>
    </row>
    <row r="41" spans="1:12" ht="16.5">
      <c r="A41" s="57"/>
      <c r="B41" s="57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spans="1:12" ht="17.25" thickBot="1">
      <c r="A42" s="2"/>
      <c r="B42" s="4" t="s">
        <v>24</v>
      </c>
      <c r="C42" s="11"/>
      <c r="D42" s="11"/>
      <c r="E42" s="11"/>
      <c r="F42" s="11"/>
      <c r="G42" s="11"/>
      <c r="H42" s="22">
        <v>122502</v>
      </c>
      <c r="I42" s="14">
        <v>145262.29999999999</v>
      </c>
      <c r="J42" s="14">
        <v>168787.9</v>
      </c>
      <c r="K42" s="14">
        <v>204008.8</v>
      </c>
      <c r="L42" s="14">
        <v>230899.5</v>
      </c>
    </row>
    <row r="43" spans="1:12" ht="16.5">
      <c r="A43" s="57"/>
      <c r="B43" s="57"/>
      <c r="C43" s="59"/>
      <c r="D43" s="59"/>
      <c r="E43" s="59"/>
      <c r="F43" s="59"/>
      <c r="G43" s="59"/>
      <c r="H43" s="59"/>
      <c r="I43" s="59"/>
      <c r="J43" s="59"/>
      <c r="K43" s="59"/>
      <c r="L43" s="59"/>
    </row>
    <row r="44" spans="1:12" ht="17.25" thickBot="1">
      <c r="A44" s="2"/>
      <c r="B44" s="4" t="s">
        <v>25</v>
      </c>
      <c r="C44" s="11"/>
      <c r="D44" s="11"/>
      <c r="E44" s="11"/>
      <c r="F44" s="11"/>
      <c r="G44" s="11"/>
      <c r="H44" s="12">
        <v>-9.2799999999999994E-2</v>
      </c>
      <c r="I44" s="13">
        <v>0.18579999999999999</v>
      </c>
      <c r="J44" s="13">
        <v>0.16200000000000001</v>
      </c>
      <c r="K44" s="13">
        <v>0.2087</v>
      </c>
      <c r="L44" s="13">
        <v>0.1318</v>
      </c>
    </row>
    <row r="45" spans="1:12" ht="16.5">
      <c r="A45" s="57"/>
      <c r="B45" s="57"/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spans="1:12" ht="17.25" thickBot="1">
      <c r="A46" s="2"/>
      <c r="B46" s="4" t="s">
        <v>26</v>
      </c>
      <c r="C46" s="11"/>
      <c r="D46" s="11"/>
      <c r="E46" s="11"/>
      <c r="F46" s="11"/>
      <c r="G46" s="11"/>
      <c r="H46" s="15">
        <v>8.7900000000000006E-2</v>
      </c>
      <c r="I46" s="15">
        <v>9.1499999999999998E-2</v>
      </c>
      <c r="J46" s="15">
        <v>9.0700000000000003E-2</v>
      </c>
      <c r="K46" s="15">
        <v>9.06E-2</v>
      </c>
      <c r="L46" s="15">
        <v>8.8900000000000007E-2</v>
      </c>
    </row>
    <row r="47" spans="1:12" ht="16.5">
      <c r="A47" s="57"/>
      <c r="B47" s="57"/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spans="1:12" ht="17.25" thickBot="1">
      <c r="A48" s="2"/>
      <c r="B48" s="4" t="s">
        <v>27</v>
      </c>
      <c r="C48" s="11"/>
      <c r="D48" s="11"/>
      <c r="E48" s="11"/>
      <c r="F48" s="11"/>
      <c r="G48" s="11"/>
      <c r="H48" s="14">
        <v>40108.199999999997</v>
      </c>
      <c r="I48" s="14">
        <v>42039.199999999997</v>
      </c>
      <c r="J48" s="14">
        <v>44841.599999999999</v>
      </c>
      <c r="K48" s="14">
        <v>49473.9</v>
      </c>
      <c r="L48" s="22">
        <v>58914</v>
      </c>
    </row>
    <row r="49" spans="1:12" ht="16.5">
      <c r="A49" s="57"/>
      <c r="B49" s="57"/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0" spans="1:12" ht="17.25" thickBot="1">
      <c r="A50" s="2"/>
      <c r="B50" s="4" t="s">
        <v>28</v>
      </c>
      <c r="C50" s="11"/>
      <c r="D50" s="11"/>
      <c r="E50" s="11"/>
      <c r="F50" s="11"/>
      <c r="G50" s="11"/>
      <c r="H50" s="14">
        <v>129212.8</v>
      </c>
      <c r="I50" s="14">
        <v>104192.4</v>
      </c>
      <c r="J50" s="14">
        <v>125306.2</v>
      </c>
      <c r="K50" s="22">
        <v>155471</v>
      </c>
      <c r="L50" s="14">
        <v>176733.3</v>
      </c>
    </row>
    <row r="51" spans="1:12" ht="16.5">
      <c r="A51" s="57"/>
      <c r="B51" s="57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spans="1:12" ht="17.25" thickBot="1">
      <c r="A52" s="2"/>
      <c r="B52" s="4" t="s">
        <v>29</v>
      </c>
      <c r="C52" s="11"/>
      <c r="D52" s="11"/>
      <c r="E52" s="11"/>
      <c r="F52" s="11"/>
      <c r="G52" s="11"/>
      <c r="H52" s="14">
        <v>-13383.5</v>
      </c>
      <c r="I52" s="14">
        <v>-17499.099999999999</v>
      </c>
      <c r="J52" s="22">
        <v>-20599</v>
      </c>
      <c r="K52" s="14">
        <v>-24879.9</v>
      </c>
      <c r="L52" s="14">
        <v>-26362.2</v>
      </c>
    </row>
    <row r="53" spans="1:12" ht="16.5">
      <c r="A53" s="57"/>
      <c r="B53" s="57"/>
      <c r="C53" s="59"/>
      <c r="D53" s="59"/>
      <c r="E53" s="59"/>
      <c r="F53" s="59"/>
      <c r="G53" s="59"/>
      <c r="H53" s="59"/>
      <c r="I53" s="59"/>
      <c r="J53" s="59"/>
      <c r="K53" s="59"/>
      <c r="L53" s="59"/>
    </row>
    <row r="54" spans="1:12" ht="17.25" thickBot="1">
      <c r="A54" s="2"/>
      <c r="B54" s="4" t="s">
        <v>30</v>
      </c>
      <c r="C54" s="11"/>
      <c r="D54" s="11"/>
      <c r="E54" s="11"/>
      <c r="F54" s="11"/>
      <c r="G54" s="11"/>
      <c r="H54" s="14">
        <v>115829.3</v>
      </c>
      <c r="I54" s="14">
        <v>86693.3</v>
      </c>
      <c r="J54" s="14">
        <v>104707.2</v>
      </c>
      <c r="K54" s="14">
        <v>130591.1</v>
      </c>
      <c r="L54" s="14">
        <v>150371.1</v>
      </c>
    </row>
    <row r="55" spans="1:12" ht="16.5">
      <c r="A55" s="57"/>
      <c r="B55" s="57"/>
      <c r="C55" s="59"/>
      <c r="D55" s="59"/>
      <c r="E55" s="59"/>
      <c r="F55" s="59"/>
      <c r="G55" s="59"/>
      <c r="H55" s="59"/>
      <c r="I55" s="59"/>
      <c r="J55" s="59"/>
      <c r="K55" s="59"/>
      <c r="L55" s="59"/>
    </row>
    <row r="56" spans="1:12" ht="17.25" thickBot="1">
      <c r="A56" s="2"/>
      <c r="B56" s="4" t="s">
        <v>31</v>
      </c>
      <c r="C56" s="11"/>
      <c r="D56" s="11"/>
      <c r="E56" s="11"/>
      <c r="F56" s="11"/>
      <c r="G56" s="11"/>
      <c r="H56" s="13">
        <v>0.21299999999999999</v>
      </c>
      <c r="I56" s="12">
        <v>-0.2515</v>
      </c>
      <c r="J56" s="13">
        <v>0.20780000000000001</v>
      </c>
      <c r="K56" s="13">
        <v>0.2472</v>
      </c>
      <c r="L56" s="13">
        <v>0.1515</v>
      </c>
    </row>
    <row r="57" spans="1:12" ht="16.5">
      <c r="A57" s="57"/>
      <c r="B57" s="57"/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spans="1:12" ht="17.25" thickBot="1">
      <c r="A58" s="2"/>
      <c r="B58" s="4" t="s">
        <v>32</v>
      </c>
      <c r="C58" s="11"/>
      <c r="D58" s="11"/>
      <c r="E58" s="11"/>
      <c r="F58" s="11"/>
      <c r="G58" s="11"/>
      <c r="H58" s="15">
        <v>8.3099999999999993E-2</v>
      </c>
      <c r="I58" s="15">
        <v>5.4600000000000003E-2</v>
      </c>
      <c r="J58" s="15">
        <v>5.62E-2</v>
      </c>
      <c r="K58" s="15">
        <v>5.8000000000000003E-2</v>
      </c>
      <c r="L58" s="15">
        <v>5.79E-2</v>
      </c>
    </row>
    <row r="59" spans="1:12" ht="16.5">
      <c r="A59" s="57"/>
      <c r="B59" s="57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spans="1:12" ht="17.25" thickBot="1">
      <c r="A60" s="2"/>
      <c r="B60" s="4" t="s">
        <v>33</v>
      </c>
      <c r="C60" s="11"/>
      <c r="D60" s="11"/>
      <c r="E60" s="11"/>
      <c r="F60" s="11"/>
      <c r="G60" s="11"/>
      <c r="H60" s="21" t="s">
        <v>10</v>
      </c>
      <c r="I60" s="21" t="s">
        <v>10</v>
      </c>
      <c r="J60" s="21" t="s">
        <v>10</v>
      </c>
      <c r="K60" s="21" t="s">
        <v>10</v>
      </c>
      <c r="L60" s="21" t="s">
        <v>10</v>
      </c>
    </row>
    <row r="61" spans="1:12" ht="16.5">
      <c r="A61" s="57"/>
      <c r="B61" s="57"/>
      <c r="C61" s="59"/>
      <c r="D61" s="59"/>
      <c r="E61" s="59"/>
      <c r="F61" s="59"/>
      <c r="G61" s="59"/>
      <c r="H61" s="59"/>
      <c r="I61" s="59"/>
      <c r="J61" s="59"/>
      <c r="K61" s="59"/>
      <c r="L61" s="59"/>
    </row>
    <row r="62" spans="1:12" ht="17.25" thickBot="1">
      <c r="A62" s="2"/>
      <c r="B62" s="4" t="s">
        <v>34</v>
      </c>
      <c r="C62" s="11"/>
      <c r="D62" s="11"/>
      <c r="E62" s="11"/>
      <c r="F62" s="11"/>
      <c r="G62" s="11"/>
      <c r="H62" s="14">
        <v>69010.3</v>
      </c>
      <c r="I62" s="22">
        <v>85724</v>
      </c>
      <c r="J62" s="14">
        <v>103347.3</v>
      </c>
      <c r="K62" s="22">
        <v>129655</v>
      </c>
      <c r="L62" s="14">
        <v>145623.29999999999</v>
      </c>
    </row>
    <row r="63" spans="1:12" ht="16.5">
      <c r="A63" s="57"/>
      <c r="B63" s="57"/>
      <c r="C63" s="59"/>
      <c r="D63" s="59"/>
      <c r="E63" s="59"/>
      <c r="F63" s="59"/>
      <c r="G63" s="59"/>
      <c r="H63" s="59"/>
      <c r="I63" s="59"/>
      <c r="J63" s="59"/>
      <c r="K63" s="59"/>
      <c r="L63" s="59"/>
    </row>
    <row r="64" spans="1:12" ht="17.25" thickBot="1">
      <c r="A64" s="2"/>
      <c r="B64" s="4" t="s">
        <v>35</v>
      </c>
      <c r="C64" s="11"/>
      <c r="D64" s="11"/>
      <c r="E64" s="11"/>
      <c r="F64" s="11"/>
      <c r="G64" s="11"/>
      <c r="H64" s="21">
        <v>49.15</v>
      </c>
      <c r="I64" s="21">
        <v>61.02</v>
      </c>
      <c r="J64" s="21">
        <v>73.540000000000006</v>
      </c>
      <c r="K64" s="21">
        <v>93.29</v>
      </c>
      <c r="L64" s="21">
        <v>105.91</v>
      </c>
    </row>
    <row r="65" spans="1:12" ht="16.5">
      <c r="A65" s="57"/>
      <c r="B65" s="57"/>
      <c r="C65" s="59"/>
      <c r="D65" s="59"/>
      <c r="E65" s="59"/>
      <c r="F65" s="59"/>
      <c r="G65" s="59"/>
      <c r="H65" s="59"/>
      <c r="I65" s="59"/>
      <c r="J65" s="59"/>
      <c r="K65" s="59"/>
      <c r="L65" s="59"/>
    </row>
    <row r="66" spans="1:12" ht="17.25" thickBot="1">
      <c r="A66" s="2"/>
      <c r="B66" s="4" t="s">
        <v>36</v>
      </c>
      <c r="C66" s="11"/>
      <c r="D66" s="11"/>
      <c r="E66" s="11"/>
      <c r="F66" s="11"/>
      <c r="G66" s="11"/>
      <c r="H66" s="12">
        <v>-0.22450000000000001</v>
      </c>
      <c r="I66" s="13">
        <v>0.2417</v>
      </c>
      <c r="J66" s="13">
        <v>0.2051</v>
      </c>
      <c r="K66" s="13">
        <v>0.26850000000000002</v>
      </c>
      <c r="L66" s="13">
        <v>0.1353</v>
      </c>
    </row>
    <row r="67" spans="1:12" ht="16.5">
      <c r="A67" s="57"/>
      <c r="B67" s="57"/>
      <c r="C67" s="59"/>
      <c r="D67" s="59"/>
      <c r="E67" s="59"/>
      <c r="F67" s="59"/>
      <c r="G67" s="59"/>
      <c r="H67" s="59"/>
      <c r="I67" s="59"/>
      <c r="J67" s="59"/>
      <c r="K67" s="59"/>
      <c r="L67" s="59"/>
    </row>
    <row r="68" spans="1:12" ht="17.25" thickBot="1">
      <c r="A68" s="2"/>
      <c r="B68" s="4" t="s">
        <v>37</v>
      </c>
      <c r="C68" s="11"/>
      <c r="D68" s="11"/>
      <c r="E68" s="11"/>
      <c r="F68" s="11"/>
      <c r="G68" s="11"/>
      <c r="H68" s="21">
        <v>49.1</v>
      </c>
      <c r="I68" s="21">
        <v>60.96</v>
      </c>
      <c r="J68" s="21">
        <v>73.48</v>
      </c>
      <c r="K68" s="21">
        <v>93.21</v>
      </c>
      <c r="L68" s="21">
        <v>105.83</v>
      </c>
    </row>
    <row r="69" spans="1:12" ht="16.5">
      <c r="A69" s="57"/>
      <c r="B69" s="57"/>
      <c r="C69" s="59"/>
      <c r="D69" s="59"/>
      <c r="E69" s="59"/>
      <c r="F69" s="59"/>
      <c r="G69" s="59"/>
      <c r="H69" s="59"/>
      <c r="I69" s="59"/>
      <c r="J69" s="59"/>
      <c r="K69" s="59"/>
      <c r="L69" s="59"/>
    </row>
    <row r="70" spans="1:12" ht="17.25" thickBot="1">
      <c r="A70" s="2"/>
      <c r="B70" s="4" t="s">
        <v>38</v>
      </c>
      <c r="C70" s="11"/>
      <c r="D70" s="11"/>
      <c r="E70" s="11"/>
      <c r="F70" s="11"/>
      <c r="G70" s="11"/>
      <c r="H70" s="12">
        <v>-0.22420000000000001</v>
      </c>
      <c r="I70" s="13">
        <v>0.24160000000000001</v>
      </c>
      <c r="J70" s="13">
        <v>0.2054</v>
      </c>
      <c r="K70" s="13">
        <v>0.26840000000000003</v>
      </c>
      <c r="L70" s="13">
        <v>0.13539999999999999</v>
      </c>
    </row>
    <row r="71" spans="1:12" ht="16.5">
      <c r="A71" s="57"/>
      <c r="B71" s="57"/>
      <c r="C71" s="59"/>
      <c r="D71" s="59"/>
      <c r="E71" s="59"/>
      <c r="F71" s="59"/>
      <c r="G71" s="59"/>
      <c r="H71" s="59"/>
      <c r="I71" s="59"/>
      <c r="J71" s="59"/>
      <c r="K71" s="59"/>
      <c r="L71" s="59"/>
    </row>
    <row r="72" spans="1:12" ht="17.25" thickBot="1">
      <c r="A72" s="2"/>
      <c r="B72" s="4" t="s">
        <v>39</v>
      </c>
      <c r="C72" s="11"/>
      <c r="D72" s="11"/>
      <c r="E72" s="11"/>
      <c r="F72" s="11"/>
      <c r="G72" s="11"/>
      <c r="H72" s="14">
        <v>1404.15</v>
      </c>
      <c r="I72" s="14">
        <v>1404.75</v>
      </c>
      <c r="J72" s="14">
        <v>1405.26</v>
      </c>
      <c r="K72" s="14">
        <v>1389.82</v>
      </c>
      <c r="L72" s="14">
        <v>1374.99</v>
      </c>
    </row>
    <row r="73" spans="1:12" ht="16.5">
      <c r="A73" s="57"/>
      <c r="B73" s="57"/>
      <c r="C73" s="59"/>
      <c r="D73" s="59"/>
      <c r="E73" s="59"/>
      <c r="F73" s="59"/>
      <c r="G73" s="59"/>
      <c r="H73" s="59"/>
      <c r="I73" s="59"/>
      <c r="J73" s="59"/>
      <c r="K73" s="59"/>
      <c r="L73" s="59"/>
    </row>
    <row r="74" spans="1:12" ht="17.25" thickBot="1">
      <c r="A74" s="2"/>
      <c r="B74" s="4" t="s">
        <v>40</v>
      </c>
      <c r="C74" s="11"/>
      <c r="D74" s="11"/>
      <c r="E74" s="11"/>
      <c r="F74" s="11"/>
      <c r="G74" s="11"/>
      <c r="H74" s="14">
        <v>1405.57</v>
      </c>
      <c r="I74" s="14">
        <v>1406.29</v>
      </c>
      <c r="J74" s="14">
        <v>1406.44</v>
      </c>
      <c r="K74" s="14">
        <v>1391.05</v>
      </c>
      <c r="L74" s="14">
        <v>1376.04</v>
      </c>
    </row>
    <row r="75" spans="1:12" ht="16.5">
      <c r="A75" s="57"/>
      <c r="B75" s="57"/>
      <c r="C75" s="59"/>
      <c r="D75" s="59"/>
      <c r="E75" s="59"/>
      <c r="F75" s="59"/>
      <c r="G75" s="59"/>
      <c r="H75" s="59"/>
      <c r="I75" s="59"/>
      <c r="J75" s="59"/>
      <c r="K75" s="59"/>
      <c r="L75" s="59"/>
    </row>
    <row r="76" spans="1:12" ht="17.25" thickBot="1">
      <c r="A76" s="2"/>
      <c r="B76" s="4" t="s">
        <v>41</v>
      </c>
      <c r="C76" s="11"/>
      <c r="D76" s="11"/>
      <c r="E76" s="11"/>
      <c r="F76" s="11"/>
      <c r="G76" s="11"/>
      <c r="H76" s="21">
        <v>18</v>
      </c>
      <c r="I76" s="21">
        <v>22</v>
      </c>
      <c r="J76" s="21">
        <v>24</v>
      </c>
      <c r="K76" s="21">
        <v>28</v>
      </c>
      <c r="L76" s="21">
        <v>34</v>
      </c>
    </row>
    <row r="77" spans="1:12" ht="16.5">
      <c r="A77" s="57"/>
      <c r="B77" s="57"/>
      <c r="C77" s="59"/>
      <c r="D77" s="59"/>
      <c r="E77" s="59"/>
      <c r="F77" s="59"/>
      <c r="G77" s="59"/>
      <c r="H77" s="59"/>
      <c r="I77" s="59"/>
      <c r="J77" s="59"/>
      <c r="K77" s="59"/>
      <c r="L77" s="59"/>
    </row>
    <row r="78" spans="1:12" ht="17.25" thickBot="1">
      <c r="A78" s="2"/>
      <c r="B78" s="4" t="s">
        <v>42</v>
      </c>
      <c r="C78" s="11"/>
      <c r="D78" s="11"/>
      <c r="E78" s="11"/>
      <c r="F78" s="11"/>
      <c r="G78" s="11"/>
      <c r="H78" s="31">
        <v>0</v>
      </c>
      <c r="I78" s="13">
        <v>0.22220000000000001</v>
      </c>
      <c r="J78" s="13">
        <v>9.0899999999999995E-2</v>
      </c>
      <c r="K78" s="13">
        <v>0.16669999999999999</v>
      </c>
      <c r="L78" s="13">
        <v>0.21429999999999999</v>
      </c>
    </row>
    <row r="79" spans="1:12" ht="16.5">
      <c r="A79" s="57"/>
      <c r="B79" s="57"/>
      <c r="C79" s="59"/>
      <c r="D79" s="59"/>
      <c r="E79" s="59"/>
      <c r="F79" s="59"/>
      <c r="G79" s="59"/>
      <c r="H79" s="59"/>
      <c r="I79" s="59"/>
      <c r="J79" s="59"/>
      <c r="K79" s="59"/>
      <c r="L79" s="59"/>
    </row>
    <row r="80" spans="1:12" ht="17.25" thickBot="1">
      <c r="A80" s="2"/>
      <c r="B80" s="4" t="s">
        <v>43</v>
      </c>
      <c r="C80" s="11"/>
      <c r="D80" s="11"/>
      <c r="E80" s="11"/>
      <c r="F80" s="11"/>
      <c r="G80" s="11"/>
      <c r="H80" s="22">
        <v>185332</v>
      </c>
      <c r="I80" s="14">
        <v>199980.79999999999</v>
      </c>
      <c r="J80" s="14">
        <v>231495.6</v>
      </c>
      <c r="K80" s="14">
        <v>268391.7</v>
      </c>
      <c r="L80" s="14">
        <v>297043.7</v>
      </c>
    </row>
    <row r="81" spans="1:12" ht="16.5">
      <c r="A81" s="57"/>
      <c r="B81" s="57"/>
      <c r="C81" s="59"/>
      <c r="D81" s="59"/>
      <c r="E81" s="59"/>
      <c r="F81" s="59"/>
      <c r="G81" s="59"/>
      <c r="H81" s="59"/>
      <c r="I81" s="59"/>
      <c r="J81" s="59"/>
      <c r="K81" s="59"/>
      <c r="L81" s="59"/>
    </row>
    <row r="82" spans="1:12" ht="17.25" thickBot="1">
      <c r="A82" s="2"/>
      <c r="B82" s="4" t="s">
        <v>44</v>
      </c>
      <c r="C82" s="11"/>
      <c r="D82" s="11"/>
      <c r="E82" s="11"/>
      <c r="F82" s="11"/>
      <c r="G82" s="11"/>
      <c r="H82" s="13">
        <v>8.8999999999999999E-3</v>
      </c>
      <c r="I82" s="13">
        <v>7.9000000000000001E-2</v>
      </c>
      <c r="J82" s="13">
        <v>0.15759999999999999</v>
      </c>
      <c r="K82" s="13">
        <v>0.15939999999999999</v>
      </c>
      <c r="L82" s="13">
        <v>0.10680000000000001</v>
      </c>
    </row>
    <row r="83" spans="1:12" ht="16.5">
      <c r="A83" s="57"/>
      <c r="B83" s="57"/>
      <c r="C83" s="59"/>
      <c r="D83" s="59"/>
      <c r="E83" s="59"/>
      <c r="F83" s="59"/>
      <c r="G83" s="59"/>
      <c r="H83" s="59"/>
      <c r="I83" s="59"/>
      <c r="J83" s="59"/>
      <c r="K83" s="59"/>
      <c r="L83" s="59"/>
    </row>
    <row r="84" spans="1:12" ht="17.25" thickBot="1">
      <c r="A84" s="2"/>
      <c r="B84" s="4" t="s">
        <v>45</v>
      </c>
      <c r="C84" s="11"/>
      <c r="D84" s="11"/>
      <c r="E84" s="11"/>
      <c r="F84" s="11"/>
      <c r="G84" s="11"/>
      <c r="H84" s="15">
        <v>0.13300000000000001</v>
      </c>
      <c r="I84" s="15">
        <v>0.126</v>
      </c>
      <c r="J84" s="15">
        <v>0.12429999999999999</v>
      </c>
      <c r="K84" s="15">
        <v>0.1192</v>
      </c>
      <c r="L84" s="15">
        <v>0.1143</v>
      </c>
    </row>
    <row r="85" spans="1:12" ht="16.5">
      <c r="A85" s="57"/>
      <c r="B85" s="57"/>
      <c r="C85" s="59"/>
      <c r="D85" s="59"/>
      <c r="E85" s="59"/>
      <c r="F85" s="59"/>
      <c r="G85" s="59"/>
      <c r="H85" s="59"/>
      <c r="I85" s="59"/>
      <c r="J85" s="59"/>
      <c r="K85" s="59"/>
      <c r="L85" s="59"/>
    </row>
    <row r="86" spans="1:12" ht="17.25" thickBot="1">
      <c r="A86" s="2"/>
      <c r="B86" s="4" t="s">
        <v>46</v>
      </c>
      <c r="C86" s="11"/>
      <c r="D86" s="11"/>
      <c r="E86" s="11"/>
      <c r="F86" s="11"/>
      <c r="G86" s="11"/>
      <c r="H86" s="14">
        <v>161775.9</v>
      </c>
      <c r="I86" s="14">
        <v>175160.6</v>
      </c>
      <c r="J86" s="14">
        <v>202368.8</v>
      </c>
      <c r="K86" s="14">
        <v>239034.7</v>
      </c>
      <c r="L86" s="14">
        <v>264160.90000000002</v>
      </c>
    </row>
    <row r="87" spans="1:12" ht="16.5">
      <c r="A87" s="57"/>
      <c r="B87" s="57"/>
      <c r="C87" s="58"/>
      <c r="D87" s="58"/>
      <c r="E87" s="58"/>
      <c r="F87" s="58"/>
      <c r="G87" s="58"/>
      <c r="H87" s="58"/>
      <c r="I87" s="58"/>
      <c r="J87" s="58"/>
      <c r="K87" s="58"/>
      <c r="L87" s="58"/>
    </row>
    <row r="88" spans="1:12" ht="115.5">
      <c r="A88" s="9" t="s">
        <v>47</v>
      </c>
    </row>
  </sheetData>
  <mergeCells count="81">
    <mergeCell ref="A8:B8"/>
    <mergeCell ref="C8:L8"/>
    <mergeCell ref="A1:A2"/>
    <mergeCell ref="A4:B4"/>
    <mergeCell ref="C4:L4"/>
    <mergeCell ref="A6:B6"/>
    <mergeCell ref="C6:L6"/>
    <mergeCell ref="A10:B10"/>
    <mergeCell ref="C10:L10"/>
    <mergeCell ref="A12:B12"/>
    <mergeCell ref="C12:L12"/>
    <mergeCell ref="A14:B14"/>
    <mergeCell ref="C14:L14"/>
    <mergeCell ref="A21:B21"/>
    <mergeCell ref="C21:L21"/>
    <mergeCell ref="A23:B23"/>
    <mergeCell ref="C23:L23"/>
    <mergeCell ref="A25:B25"/>
    <mergeCell ref="C25:L25"/>
    <mergeCell ref="A27:B27"/>
    <mergeCell ref="C27:L27"/>
    <mergeCell ref="A29:B29"/>
    <mergeCell ref="C29:L29"/>
    <mergeCell ref="A31:B31"/>
    <mergeCell ref="C31:L31"/>
    <mergeCell ref="A33:B33"/>
    <mergeCell ref="C33:L33"/>
    <mergeCell ref="A35:B35"/>
    <mergeCell ref="C35:L35"/>
    <mergeCell ref="A37:B37"/>
    <mergeCell ref="C37:L37"/>
    <mergeCell ref="A39:B39"/>
    <mergeCell ref="C39:L39"/>
    <mergeCell ref="A41:B41"/>
    <mergeCell ref="C41:L41"/>
    <mergeCell ref="A43:B43"/>
    <mergeCell ref="C43:L43"/>
    <mergeCell ref="A45:B45"/>
    <mergeCell ref="C45:L45"/>
    <mergeCell ref="A47:B47"/>
    <mergeCell ref="C47:L47"/>
    <mergeCell ref="A49:B49"/>
    <mergeCell ref="C49:L49"/>
    <mergeCell ref="A51:B51"/>
    <mergeCell ref="C51:L51"/>
    <mergeCell ref="A53:B53"/>
    <mergeCell ref="C53:L53"/>
    <mergeCell ref="A55:B55"/>
    <mergeCell ref="C55:L55"/>
    <mergeCell ref="A57:B57"/>
    <mergeCell ref="C57:L57"/>
    <mergeCell ref="A59:B59"/>
    <mergeCell ref="C59:L59"/>
    <mergeCell ref="A61:B61"/>
    <mergeCell ref="C61:L61"/>
    <mergeCell ref="A63:B63"/>
    <mergeCell ref="C63:L63"/>
    <mergeCell ref="A65:B65"/>
    <mergeCell ref="C65:L65"/>
    <mergeCell ref="A67:B67"/>
    <mergeCell ref="C67:L67"/>
    <mergeCell ref="A69:B69"/>
    <mergeCell ref="C69:L69"/>
    <mergeCell ref="A71:B71"/>
    <mergeCell ref="C71:L71"/>
    <mergeCell ref="A73:B73"/>
    <mergeCell ref="C73:L73"/>
    <mergeCell ref="A75:B75"/>
    <mergeCell ref="C75:L75"/>
    <mergeCell ref="A77:B77"/>
    <mergeCell ref="C77:L77"/>
    <mergeCell ref="A79:B79"/>
    <mergeCell ref="C79:L79"/>
    <mergeCell ref="A87:B87"/>
    <mergeCell ref="C87:L87"/>
    <mergeCell ref="A81:B81"/>
    <mergeCell ref="C81:L81"/>
    <mergeCell ref="A83:B83"/>
    <mergeCell ref="C83:L83"/>
    <mergeCell ref="A85:B85"/>
    <mergeCell ref="C85:L85"/>
  </mergeCells>
  <hyperlinks>
    <hyperlink ref="C3" r:id="rId1" display="https://www.investing.com/pro/pricing?entry=income-statement" xr:uid="{7BD1A013-A7DF-43A1-8F2D-0A4C9C762CE2}"/>
    <hyperlink ref="D3" r:id="rId2" display="https://www.investing.com/pro/pricing?entry=income-statement" xr:uid="{90D62B28-2B7A-423F-9AAE-9D28CBBD648F}"/>
    <hyperlink ref="E3" r:id="rId3" display="https://www.investing.com/pro/pricing?entry=income-statement" xr:uid="{6D3FEF51-7DDA-4FAC-A5FC-EA45B4DDFC85}"/>
    <hyperlink ref="F3" r:id="rId4" display="https://www.investing.com/pro/pricing?entry=income-statement" xr:uid="{9EF02CC3-F98B-4A8D-BE29-A6633252962E}"/>
    <hyperlink ref="G3" r:id="rId5" display="https://www.investing.com/pro/pricing?entry=income-statement" xr:uid="{7492E7E9-8F25-4505-8A6E-35FD27369860}"/>
    <hyperlink ref="C5" r:id="rId6" display="https://www.investing.com/pro/pricing?entry=income-statement" xr:uid="{FFF7DE54-0C79-4D5E-A2AE-F2BFDFF4B517}"/>
    <hyperlink ref="D5" r:id="rId7" display="https://www.investing.com/pro/pricing?entry=income-statement" xr:uid="{174E0A21-3610-4303-AAD1-34F218E0FA56}"/>
    <hyperlink ref="E5" r:id="rId8" display="https://www.investing.com/pro/pricing?entry=income-statement" xr:uid="{2C3C4AB3-8EC3-460B-94AD-1FEF3D0D1D50}"/>
    <hyperlink ref="F5" r:id="rId9" display="https://www.investing.com/pro/pricing?entry=income-statement" xr:uid="{2527BC2A-02AD-4B3F-973E-3CE4FCF2B3CC}"/>
    <hyperlink ref="G5" r:id="rId10" display="https://www.investing.com/pro/pricing?entry=income-statement" xr:uid="{DE13A671-93F2-4D4D-809D-461ED3E1721D}"/>
    <hyperlink ref="C7" r:id="rId11" display="https://www.investing.com/pro/pricing?entry=income-statement" xr:uid="{2B3954BF-92E9-46E9-8C1A-7E1005ADB568}"/>
    <hyperlink ref="D7" r:id="rId12" display="https://www.investing.com/pro/pricing?entry=income-statement" xr:uid="{B54B273D-79D4-4A23-B41C-9F6B95DD1272}"/>
    <hyperlink ref="E7" r:id="rId13" display="https://www.investing.com/pro/pricing?entry=income-statement" xr:uid="{58A7B9E9-732E-4535-BDB7-E141E06637E0}"/>
    <hyperlink ref="F7" r:id="rId14" display="https://www.investing.com/pro/pricing?entry=income-statement" xr:uid="{1410DD1C-3471-4CF0-BB05-DBA2BE5E8EC1}"/>
    <hyperlink ref="G7" r:id="rId15" display="https://www.investing.com/pro/pricing?entry=income-statement" xr:uid="{FC5E6B62-3F3C-4ECF-9D69-B16C4EE1BD44}"/>
    <hyperlink ref="C9" r:id="rId16" display="https://www.investing.com/pro/pricing?entry=income-statement" xr:uid="{1C4D80E1-15B8-4367-AF89-5C7F38C713CD}"/>
    <hyperlink ref="D9" r:id="rId17" display="https://www.investing.com/pro/pricing?entry=income-statement" xr:uid="{14E3F769-CD23-4E5C-A4A5-F072B886C674}"/>
    <hyperlink ref="E9" r:id="rId18" display="https://www.investing.com/pro/pricing?entry=income-statement" xr:uid="{0645A6EF-5B44-4338-AD19-694C2084AE3A}"/>
    <hyperlink ref="F9" r:id="rId19" display="https://www.investing.com/pro/pricing?entry=income-statement" xr:uid="{69839EA1-7503-4D2B-9E03-E3E401B11FF1}"/>
    <hyperlink ref="G9" r:id="rId20" display="https://www.investing.com/pro/pricing?entry=income-statement" xr:uid="{FF64EE56-0614-4966-9AB4-6F96206E9433}"/>
    <hyperlink ref="C11" r:id="rId21" display="https://www.investing.com/pro/pricing?entry=income-statement" xr:uid="{81BE8016-27D6-421E-9220-260FA4ADDF27}"/>
    <hyperlink ref="D11" r:id="rId22" display="https://www.investing.com/pro/pricing?entry=income-statement" xr:uid="{9662E9F7-93CD-4341-B30F-BD782A0849B2}"/>
    <hyperlink ref="E11" r:id="rId23" display="https://www.investing.com/pro/pricing?entry=income-statement" xr:uid="{640A07CD-C43C-4285-93A4-50B6335519CA}"/>
    <hyperlink ref="F11" r:id="rId24" display="https://www.investing.com/pro/pricing?entry=income-statement" xr:uid="{A97A0E6D-D03D-4B7A-8B59-2A076FB398E8}"/>
    <hyperlink ref="G11" r:id="rId25" display="https://www.investing.com/pro/pricing?entry=income-statement" xr:uid="{64926AE1-159B-4BFF-8E80-0BEA016C150C}"/>
    <hyperlink ref="C13" r:id="rId26" display="https://www.investing.com/pro/pricing?entry=income-statement" xr:uid="{2CBA4AEE-AE8E-4C77-9A24-FF6D9DDB8288}"/>
    <hyperlink ref="D13" r:id="rId27" display="https://www.investing.com/pro/pricing?entry=income-statement" xr:uid="{E38AA7B6-2E2A-43C7-8E29-D2A0E0C2F559}"/>
    <hyperlink ref="E13" r:id="rId28" display="https://www.investing.com/pro/pricing?entry=income-statement" xr:uid="{0DAF300A-A6C9-4CCF-B7F8-56681B023AA7}"/>
    <hyperlink ref="F13" r:id="rId29" display="https://www.investing.com/pro/pricing?entry=income-statement" xr:uid="{DEF98E27-AC57-4C21-B6D5-41C9742F745E}"/>
    <hyperlink ref="G13" r:id="rId30" display="https://www.investing.com/pro/pricing?entry=income-statement" xr:uid="{F710C7F8-095B-4376-8F84-9BC2692A6A54}"/>
    <hyperlink ref="C15" r:id="rId31" display="https://www.investing.com/pro/pricing?entry=income-statement" xr:uid="{C89E51FF-209F-4B54-9E17-C9A9275A4DAA}"/>
    <hyperlink ref="D15" r:id="rId32" display="https://www.investing.com/pro/pricing?entry=income-statement" xr:uid="{CE6A31FC-7B43-4786-8866-AF4E25076579}"/>
    <hyperlink ref="E15" r:id="rId33" display="https://www.investing.com/pro/pricing?entry=income-statement" xr:uid="{F5BA05C9-DFF7-4BD6-815A-953649FAD101}"/>
    <hyperlink ref="F15" r:id="rId34" display="https://www.investing.com/pro/pricing?entry=income-statement" xr:uid="{3CD3ACE6-4444-4D82-B066-3CB498F3C273}"/>
    <hyperlink ref="G15" r:id="rId35" display="https://www.investing.com/pro/pricing?entry=income-statement" xr:uid="{5D67425D-39A5-4611-97BE-EBC95504445A}"/>
    <hyperlink ref="C16" r:id="rId36" display="https://www.investing.com/pro/pricing?entry=income-statement" xr:uid="{AC6B0F49-BB73-4488-91C9-576C5C1A1B36}"/>
    <hyperlink ref="D16" r:id="rId37" display="https://www.investing.com/pro/pricing?entry=income-statement" xr:uid="{469F6301-FA9E-44F2-826A-CF743A674931}"/>
    <hyperlink ref="E16" r:id="rId38" display="https://www.investing.com/pro/pricing?entry=income-statement" xr:uid="{5A4AEEBB-D1B1-428D-B821-18F05304AFFE}"/>
    <hyperlink ref="F16" r:id="rId39" display="https://www.investing.com/pro/pricing?entry=income-statement" xr:uid="{15F9E7D4-9C7A-4509-B4FB-B3B42329679A}"/>
    <hyperlink ref="G16" r:id="rId40" display="https://www.investing.com/pro/pricing?entry=income-statement" xr:uid="{0D853F53-A083-4CF6-A2C1-7FCEDDC99FD4}"/>
    <hyperlink ref="C17" r:id="rId41" display="https://www.investing.com/pro/pricing?entry=income-statement" xr:uid="{27E4B3BF-078B-4AF2-A7F7-7AD46AFFAD16}"/>
    <hyperlink ref="D17" r:id="rId42" display="https://www.investing.com/pro/pricing?entry=income-statement" xr:uid="{F52B5626-03EF-4F2D-BD52-703E3278AE09}"/>
    <hyperlink ref="E17" r:id="rId43" display="https://www.investing.com/pro/pricing?entry=income-statement" xr:uid="{4F71D2FD-D6D3-40DA-9E75-359A25D3EF1A}"/>
    <hyperlink ref="F17" r:id="rId44" display="https://www.investing.com/pro/pricing?entry=income-statement" xr:uid="{F384717D-D4C8-42FD-8007-098604C6259D}"/>
    <hyperlink ref="G17" r:id="rId45" display="https://www.investing.com/pro/pricing?entry=income-statement" xr:uid="{340489BA-C88B-4732-80E5-D566D2537170}"/>
    <hyperlink ref="C18" r:id="rId46" display="https://www.investing.com/pro/pricing?entry=income-statement" xr:uid="{ABE173F8-01B0-4ED3-A71E-26339D5735F7}"/>
    <hyperlink ref="D18" r:id="rId47" display="https://www.investing.com/pro/pricing?entry=income-statement" xr:uid="{3ECB4A8F-0559-445E-A8D5-EC82E0F3C464}"/>
    <hyperlink ref="E18" r:id="rId48" display="https://www.investing.com/pro/pricing?entry=income-statement" xr:uid="{20422AA3-724B-45FE-BF18-992EECFBD18E}"/>
    <hyperlink ref="F18" r:id="rId49" display="https://www.investing.com/pro/pricing?entry=income-statement" xr:uid="{D763C2DF-7C71-4A2B-A910-316E9D470EFD}"/>
    <hyperlink ref="G18" r:id="rId50" display="https://www.investing.com/pro/pricing?entry=income-statement" xr:uid="{6948E8FA-D271-4750-B5D6-45114FBD19F8}"/>
    <hyperlink ref="C19" r:id="rId51" display="https://www.investing.com/pro/pricing?entry=income-statement" xr:uid="{9D5E635F-50F6-4C47-AF8A-3B493A77732D}"/>
    <hyperlink ref="D19" r:id="rId52" display="https://www.investing.com/pro/pricing?entry=income-statement" xr:uid="{928DC4D0-4D51-49F9-93E6-8F3017075A77}"/>
    <hyperlink ref="E19" r:id="rId53" display="https://www.investing.com/pro/pricing?entry=income-statement" xr:uid="{ABD5BBE8-1CF5-440C-81F7-376DA1AA6F63}"/>
    <hyperlink ref="F19" r:id="rId54" display="https://www.investing.com/pro/pricing?entry=income-statement" xr:uid="{B1232CC6-4D9B-49A5-A3D5-BEDB2F97308B}"/>
    <hyperlink ref="G19" r:id="rId55" display="https://www.investing.com/pro/pricing?entry=income-statement" xr:uid="{CF918DC2-CDCA-44E6-A681-45D18D012026}"/>
    <hyperlink ref="C20" r:id="rId56" display="https://www.investing.com/pro/pricing?entry=income-statement" xr:uid="{BB7F7EED-2B29-40F5-B0FB-E2760D76C9FF}"/>
    <hyperlink ref="D20" r:id="rId57" display="https://www.investing.com/pro/pricing?entry=income-statement" xr:uid="{FCCCE910-2E9D-4255-B3C7-7F919495EFC5}"/>
    <hyperlink ref="E20" r:id="rId58" display="https://www.investing.com/pro/pricing?entry=income-statement" xr:uid="{7F10E807-E0D6-45BB-8F7C-2AF60C8F6D5C}"/>
    <hyperlink ref="F20" r:id="rId59" display="https://www.investing.com/pro/pricing?entry=income-statement" xr:uid="{5C1D7FD3-2C18-4AA1-8680-40897006DB07}"/>
    <hyperlink ref="G20" r:id="rId60" display="https://www.investing.com/pro/pricing?entry=income-statement" xr:uid="{E0443ECE-9497-45B8-A634-040F67EAF343}"/>
    <hyperlink ref="C22" r:id="rId61" display="https://www.investing.com/pro/pricing?entry=income-statement" xr:uid="{5A992CD3-44B5-4288-9708-AB675AF8E3EB}"/>
    <hyperlink ref="D22" r:id="rId62" display="https://www.investing.com/pro/pricing?entry=income-statement" xr:uid="{79FC747F-C98D-4C0D-9C90-A4397BC0DBFA}"/>
    <hyperlink ref="E22" r:id="rId63" display="https://www.investing.com/pro/pricing?entry=income-statement" xr:uid="{12E13C65-3F8C-41EE-ADE4-87C72093EDE1}"/>
    <hyperlink ref="F22" r:id="rId64" display="https://www.investing.com/pro/pricing?entry=income-statement" xr:uid="{C03EA1FA-9989-4575-9B98-D77DE27B8936}"/>
    <hyperlink ref="G22" r:id="rId65" display="https://www.investing.com/pro/pricing?entry=income-statement" xr:uid="{22F58815-20DF-41B9-B059-FAA20640562B}"/>
    <hyperlink ref="C24" r:id="rId66" display="https://www.investing.com/pro/pricing?entry=income-statement" xr:uid="{33642114-8E9C-4CE9-8031-7564CE182690}"/>
    <hyperlink ref="D24" r:id="rId67" display="https://www.investing.com/pro/pricing?entry=income-statement" xr:uid="{9486A716-C523-4B3E-934C-2797430283B3}"/>
    <hyperlink ref="E24" r:id="rId68" display="https://www.investing.com/pro/pricing?entry=income-statement" xr:uid="{DA6BAA89-B236-4B33-85A3-E6F7827A5CE5}"/>
    <hyperlink ref="F24" r:id="rId69" display="https://www.investing.com/pro/pricing?entry=income-statement" xr:uid="{0E6778CD-9FB8-4353-A672-E6D50CD5AA3E}"/>
    <hyperlink ref="G24" r:id="rId70" display="https://www.investing.com/pro/pricing?entry=income-statement" xr:uid="{9C55F387-477A-4634-9EDA-806D13821EEA}"/>
    <hyperlink ref="C26" r:id="rId71" display="https://www.investing.com/pro/pricing?entry=income-statement" xr:uid="{EA4F007C-944D-4A16-8B95-816E1B92B670}"/>
    <hyperlink ref="D26" r:id="rId72" display="https://www.investing.com/pro/pricing?entry=income-statement" xr:uid="{4EF232C1-7EA1-48B7-A1ED-193FBA38DA8E}"/>
    <hyperlink ref="E26" r:id="rId73" display="https://www.investing.com/pro/pricing?entry=income-statement" xr:uid="{5E551D8A-F2AF-41F1-963A-CC4E787AC366}"/>
    <hyperlink ref="F26" r:id="rId74" display="https://www.investing.com/pro/pricing?entry=income-statement" xr:uid="{343D3F60-3F6E-471E-8E36-7B69F48A35B7}"/>
    <hyperlink ref="G26" r:id="rId75" display="https://www.investing.com/pro/pricing?entry=income-statement" xr:uid="{8CE283DD-41E5-4489-895F-FA9B4D5A5E4C}"/>
    <hyperlink ref="C28" r:id="rId76" display="https://www.investing.com/pro/pricing?entry=income-statement" xr:uid="{DEC4CC9A-B55D-4F53-AD65-758AA47E1FBF}"/>
    <hyperlink ref="D28" r:id="rId77" display="https://www.investing.com/pro/pricing?entry=income-statement" xr:uid="{5486702D-C7FD-4E11-ABE7-D134470DEDD2}"/>
    <hyperlink ref="E28" r:id="rId78" display="https://www.investing.com/pro/pricing?entry=income-statement" xr:uid="{9B8AF726-5C61-4ED4-B4AF-1FDB4F1B96F9}"/>
    <hyperlink ref="F28" r:id="rId79" display="https://www.investing.com/pro/pricing?entry=income-statement" xr:uid="{6842BE85-5AB6-4830-8EC9-CDA30E82FFDF}"/>
    <hyperlink ref="G28" r:id="rId80" display="https://www.investing.com/pro/pricing?entry=income-statement" xr:uid="{124EEE0A-7D92-4ADD-9618-0BC97310E95F}"/>
    <hyperlink ref="C30" r:id="rId81" display="https://www.investing.com/pro/pricing?entry=income-statement" xr:uid="{0184783E-C4EB-4B5C-BC4A-0ECA568E9D7A}"/>
    <hyperlink ref="D30" r:id="rId82" display="https://www.investing.com/pro/pricing?entry=income-statement" xr:uid="{3E87BBA9-FF37-46CF-8209-DDE1EBC0C63F}"/>
    <hyperlink ref="E30" r:id="rId83" display="https://www.investing.com/pro/pricing?entry=income-statement" xr:uid="{702B6100-9DDE-4CD8-9844-739EE6F76541}"/>
    <hyperlink ref="F30" r:id="rId84" display="https://www.investing.com/pro/pricing?entry=income-statement" xr:uid="{1FC056FF-1D0C-4798-85FC-933C5A22432D}"/>
    <hyperlink ref="G30" r:id="rId85" display="https://www.investing.com/pro/pricing?entry=income-statement" xr:uid="{DF910C64-E267-4711-9860-B52B8977F8FD}"/>
    <hyperlink ref="C32" r:id="rId86" display="https://www.investing.com/pro/pricing?entry=income-statement" xr:uid="{A397512C-FFB8-483D-967D-0C5763005693}"/>
    <hyperlink ref="D32" r:id="rId87" display="https://www.investing.com/pro/pricing?entry=income-statement" xr:uid="{449CC950-62ED-4367-9C89-8B983D57EB89}"/>
    <hyperlink ref="E32" r:id="rId88" display="https://www.investing.com/pro/pricing?entry=income-statement" xr:uid="{95F7DC60-5A7A-4B1E-9466-B6A2C705C919}"/>
    <hyperlink ref="F32" r:id="rId89" display="https://www.investing.com/pro/pricing?entry=income-statement" xr:uid="{8B2279D8-E219-4A1C-99AC-C52A4444088A}"/>
    <hyperlink ref="G32" r:id="rId90" display="https://www.investing.com/pro/pricing?entry=income-statement" xr:uid="{47B89BB9-EE3E-4FCE-88E3-285A7B78816A}"/>
    <hyperlink ref="C34" r:id="rId91" display="https://www.investing.com/pro/pricing?entry=income-statement" xr:uid="{1BCFE709-D101-4168-B58A-32D6BB22B16C}"/>
    <hyperlink ref="D34" r:id="rId92" display="https://www.investing.com/pro/pricing?entry=income-statement" xr:uid="{236488CC-9F9B-4EE2-BBEE-E10D718A58C6}"/>
    <hyperlink ref="E34" r:id="rId93" display="https://www.investing.com/pro/pricing?entry=income-statement" xr:uid="{CC81FB5C-9D71-49C1-AEF0-126130110963}"/>
    <hyperlink ref="F34" r:id="rId94" display="https://www.investing.com/pro/pricing?entry=income-statement" xr:uid="{DE616296-E696-45B3-8300-40C2FB775A79}"/>
    <hyperlink ref="G34" r:id="rId95" display="https://www.investing.com/pro/pricing?entry=income-statement" xr:uid="{F67B6F9B-F39F-4626-BBC3-3F67011D7D05}"/>
    <hyperlink ref="C36" r:id="rId96" display="https://www.investing.com/pro/pricing?entry=income-statement" xr:uid="{4D61118F-7C17-4E5B-A31C-4260244E0225}"/>
    <hyperlink ref="D36" r:id="rId97" display="https://www.investing.com/pro/pricing?entry=income-statement" xr:uid="{AD356895-23E8-4215-A645-CBCDD282D4C0}"/>
    <hyperlink ref="E36" r:id="rId98" display="https://www.investing.com/pro/pricing?entry=income-statement" xr:uid="{6DFE62CC-6154-426F-8AEE-5DE516430FCB}"/>
    <hyperlink ref="F36" r:id="rId99" display="https://www.investing.com/pro/pricing?entry=income-statement" xr:uid="{31353E17-C5E0-46ED-9EBB-0A75B414F3DD}"/>
    <hyperlink ref="G36" r:id="rId100" display="https://www.investing.com/pro/pricing?entry=income-statement" xr:uid="{49653FAB-DD39-4314-9E83-D2335967BB68}"/>
    <hyperlink ref="C38" r:id="rId101" display="https://www.investing.com/pro/pricing?entry=income-statement" xr:uid="{030AF302-FCD9-491B-89F9-C5DB15B202AA}"/>
    <hyperlink ref="D38" r:id="rId102" display="https://www.investing.com/pro/pricing?entry=income-statement" xr:uid="{68A6CBF8-42CF-4608-8DC7-C92CA9516AA7}"/>
    <hyperlink ref="E38" r:id="rId103" display="https://www.investing.com/pro/pricing?entry=income-statement" xr:uid="{C95153B0-3C13-48F8-97D9-A6015B50BC87}"/>
    <hyperlink ref="F38" r:id="rId104" display="https://www.investing.com/pro/pricing?entry=income-statement" xr:uid="{BAC1DD76-56B8-410C-9774-F8A191504AA4}"/>
    <hyperlink ref="G38" r:id="rId105" display="https://www.investing.com/pro/pricing?entry=income-statement" xr:uid="{6386790C-6266-4BB8-B184-DDAB55E9A7D4}"/>
    <hyperlink ref="C40" r:id="rId106" display="https://www.investing.com/pro/pricing?entry=income-statement" xr:uid="{53448AA4-FC30-4D36-9C0B-7716824C6397}"/>
    <hyperlink ref="D40" r:id="rId107" display="https://www.investing.com/pro/pricing?entry=income-statement" xr:uid="{B074AD8A-64D1-47FF-8C6F-743CD01FC9DC}"/>
    <hyperlink ref="E40" r:id="rId108" display="https://www.investing.com/pro/pricing?entry=income-statement" xr:uid="{C61D5EBA-CDD4-46C0-97F5-6F8AAEE2E84C}"/>
    <hyperlink ref="F40" r:id="rId109" display="https://www.investing.com/pro/pricing?entry=income-statement" xr:uid="{560432D7-97B7-493C-97A1-8C8BE3A2BB79}"/>
    <hyperlink ref="G40" r:id="rId110" display="https://www.investing.com/pro/pricing?entry=income-statement" xr:uid="{349A4147-5497-492E-9846-D56CB16ACD43}"/>
    <hyperlink ref="C42" r:id="rId111" display="https://www.investing.com/pro/pricing?entry=income-statement" xr:uid="{1E42A1EA-5617-4176-9D86-1BB1F1501A0B}"/>
    <hyperlink ref="D42" r:id="rId112" display="https://www.investing.com/pro/pricing?entry=income-statement" xr:uid="{BF0D2504-A458-4D57-91D8-417D079B23DF}"/>
    <hyperlink ref="E42" r:id="rId113" display="https://www.investing.com/pro/pricing?entry=income-statement" xr:uid="{314BF8EA-4441-4703-9003-8E466B5251A3}"/>
    <hyperlink ref="F42" r:id="rId114" display="https://www.investing.com/pro/pricing?entry=income-statement" xr:uid="{1CCD434C-0B5F-45A2-AB85-B9A50DD2A13F}"/>
    <hyperlink ref="G42" r:id="rId115" display="https://www.investing.com/pro/pricing?entry=income-statement" xr:uid="{0AAEA5AE-3160-4249-8F85-07E799163A73}"/>
    <hyperlink ref="C44" r:id="rId116" display="https://www.investing.com/pro/pricing?entry=income-statement" xr:uid="{F08BB3AC-A10E-4CD3-B419-1E885F81B7F0}"/>
    <hyperlink ref="D44" r:id="rId117" display="https://www.investing.com/pro/pricing?entry=income-statement" xr:uid="{CA0A98F4-41E7-4D54-B968-25040AA77C19}"/>
    <hyperlink ref="E44" r:id="rId118" display="https://www.investing.com/pro/pricing?entry=income-statement" xr:uid="{9B1D8D50-C444-496A-9EAF-FD0D84A9F6B8}"/>
    <hyperlink ref="F44" r:id="rId119" display="https://www.investing.com/pro/pricing?entry=income-statement" xr:uid="{7FF6345C-6DA2-41D7-B025-0B002ACE77E6}"/>
    <hyperlink ref="G44" r:id="rId120" display="https://www.investing.com/pro/pricing?entry=income-statement" xr:uid="{8A60FB97-05DD-4B92-81CF-108F952B956B}"/>
    <hyperlink ref="C46" r:id="rId121" display="https://www.investing.com/pro/pricing?entry=income-statement" xr:uid="{96A386A8-EC82-4607-B67B-52CA9EBFD0DD}"/>
    <hyperlink ref="D46" r:id="rId122" display="https://www.investing.com/pro/pricing?entry=income-statement" xr:uid="{48FDCDC3-79A1-4438-9607-8A52343E4AB7}"/>
    <hyperlink ref="E46" r:id="rId123" display="https://www.investing.com/pro/pricing?entry=income-statement" xr:uid="{D8A8D866-88EA-4B6E-A3EE-2A81513A6C29}"/>
    <hyperlink ref="F46" r:id="rId124" display="https://www.investing.com/pro/pricing?entry=income-statement" xr:uid="{51EBBE58-B6CC-403E-99C5-FC246487222F}"/>
    <hyperlink ref="G46" r:id="rId125" display="https://www.investing.com/pro/pricing?entry=income-statement" xr:uid="{C0E400FB-88F5-4753-A2D6-C8FE710C7689}"/>
    <hyperlink ref="C48" r:id="rId126" display="https://www.investing.com/pro/pricing?entry=income-statement" xr:uid="{CA60BDD7-740C-45EB-9986-074096225F98}"/>
    <hyperlink ref="D48" r:id="rId127" display="https://www.investing.com/pro/pricing?entry=income-statement" xr:uid="{1FF2A8CE-5BDE-4D56-BDD6-6055973EF37D}"/>
    <hyperlink ref="E48" r:id="rId128" display="https://www.investing.com/pro/pricing?entry=income-statement" xr:uid="{189E9216-AE06-487E-896F-9F920372D238}"/>
    <hyperlink ref="F48" r:id="rId129" display="https://www.investing.com/pro/pricing?entry=income-statement" xr:uid="{EB230EC9-5742-4C3F-B981-27370BFD1927}"/>
    <hyperlink ref="G48" r:id="rId130" display="https://www.investing.com/pro/pricing?entry=income-statement" xr:uid="{243832F4-DD6B-46BD-853D-0BDD8D41CA98}"/>
    <hyperlink ref="C50" r:id="rId131" display="https://www.investing.com/pro/pricing?entry=income-statement" xr:uid="{B6E26AD8-EB5F-4F3E-B1A4-874E91EAC3C7}"/>
    <hyperlink ref="D50" r:id="rId132" display="https://www.investing.com/pro/pricing?entry=income-statement" xr:uid="{5AB47177-C024-48D8-806F-2715490DFDB4}"/>
    <hyperlink ref="E50" r:id="rId133" display="https://www.investing.com/pro/pricing?entry=income-statement" xr:uid="{03D5F818-CF52-407C-B8B4-73B7D4BB9C13}"/>
    <hyperlink ref="F50" r:id="rId134" display="https://www.investing.com/pro/pricing?entry=income-statement" xr:uid="{DF037BF7-21EC-4B08-9D29-9E22B48876DE}"/>
    <hyperlink ref="G50" r:id="rId135" display="https://www.investing.com/pro/pricing?entry=income-statement" xr:uid="{2A14F10D-B4F5-498B-8831-3EDABD9EC7A3}"/>
    <hyperlink ref="C52" r:id="rId136" display="https://www.investing.com/pro/pricing?entry=income-statement" xr:uid="{71A7B135-2C8D-4989-A1C6-0650ED2F6419}"/>
    <hyperlink ref="D52" r:id="rId137" display="https://www.investing.com/pro/pricing?entry=income-statement" xr:uid="{D062809C-0357-4D29-99FB-2AE68120C88F}"/>
    <hyperlink ref="E52" r:id="rId138" display="https://www.investing.com/pro/pricing?entry=income-statement" xr:uid="{F58488A2-F92E-45D9-A999-EEEE4523B9AE}"/>
    <hyperlink ref="F52" r:id="rId139" display="https://www.investing.com/pro/pricing?entry=income-statement" xr:uid="{F3A00297-F33A-43AF-BBE0-46F5C54FFFD6}"/>
    <hyperlink ref="G52" r:id="rId140" display="https://www.investing.com/pro/pricing?entry=income-statement" xr:uid="{D6903949-954B-4E56-93B8-FA3A0EC9EDB4}"/>
    <hyperlink ref="C54" r:id="rId141" display="https://www.investing.com/pro/pricing?entry=income-statement" xr:uid="{2B93B0AF-C3D3-47C2-9E05-A4EE61B5DC3E}"/>
    <hyperlink ref="D54" r:id="rId142" display="https://www.investing.com/pro/pricing?entry=income-statement" xr:uid="{F95BE1C0-91BB-41E1-8636-DDC734692696}"/>
    <hyperlink ref="E54" r:id="rId143" display="https://www.investing.com/pro/pricing?entry=income-statement" xr:uid="{623B4EB9-22BA-4AF2-804F-B9A22E6406CC}"/>
    <hyperlink ref="F54" r:id="rId144" display="https://www.investing.com/pro/pricing?entry=income-statement" xr:uid="{4266798D-A618-43D5-BE61-A19FFCA38147}"/>
    <hyperlink ref="G54" r:id="rId145" display="https://www.investing.com/pro/pricing?entry=income-statement" xr:uid="{D8E1D0BA-F4A5-4C2D-9801-BC6A19E06A08}"/>
    <hyperlink ref="C56" r:id="rId146" display="https://www.investing.com/pro/pricing?entry=income-statement" xr:uid="{814E4128-C9F5-41A9-B779-465B606089F7}"/>
    <hyperlink ref="D56" r:id="rId147" display="https://www.investing.com/pro/pricing?entry=income-statement" xr:uid="{5116E767-2B28-444A-A0CE-39B088253665}"/>
    <hyperlink ref="E56" r:id="rId148" display="https://www.investing.com/pro/pricing?entry=income-statement" xr:uid="{C341F6DE-D206-4A84-8C84-06CB6D1C24E1}"/>
    <hyperlink ref="F56" r:id="rId149" display="https://www.investing.com/pro/pricing?entry=income-statement" xr:uid="{46070261-DD41-4D05-80A7-634395BA4617}"/>
    <hyperlink ref="G56" r:id="rId150" display="https://www.investing.com/pro/pricing?entry=income-statement" xr:uid="{526A5D23-A939-4BCD-AB36-1A5D3CCE9382}"/>
    <hyperlink ref="C58" r:id="rId151" display="https://www.investing.com/pro/pricing?entry=income-statement" xr:uid="{8462C4D8-2034-444D-BB8D-662B452624D3}"/>
    <hyperlink ref="D58" r:id="rId152" display="https://www.investing.com/pro/pricing?entry=income-statement" xr:uid="{730D5EDD-EAF1-4D45-8B9E-6AB4742F13CD}"/>
    <hyperlink ref="E58" r:id="rId153" display="https://www.investing.com/pro/pricing?entry=income-statement" xr:uid="{EBDB51CC-57B9-4632-9654-27B97286B889}"/>
    <hyperlink ref="F58" r:id="rId154" display="https://www.investing.com/pro/pricing?entry=income-statement" xr:uid="{A9030235-997D-42F2-B711-BF7CD3D2D49D}"/>
    <hyperlink ref="G58" r:id="rId155" display="https://www.investing.com/pro/pricing?entry=income-statement" xr:uid="{AFB1CAFC-39B0-400F-891C-98160B25BEF9}"/>
    <hyperlink ref="C60" r:id="rId156" display="https://www.investing.com/pro/pricing?entry=income-statement" xr:uid="{E14A0D98-A3BC-4122-A832-C5676432FCCD}"/>
    <hyperlink ref="D60" r:id="rId157" display="https://www.investing.com/pro/pricing?entry=income-statement" xr:uid="{86D052F9-BDAC-4AA5-BB68-DE2642402ECA}"/>
    <hyperlink ref="E60" r:id="rId158" display="https://www.investing.com/pro/pricing?entry=income-statement" xr:uid="{91EBA1A5-8E4D-4CF1-AE84-8AA6F10A01DB}"/>
    <hyperlink ref="F60" r:id="rId159" display="https://www.investing.com/pro/pricing?entry=income-statement" xr:uid="{D13B7A66-C121-4BAE-B45A-DCA8EFBB502F}"/>
    <hyperlink ref="G60" r:id="rId160" display="https://www.investing.com/pro/pricing?entry=income-statement" xr:uid="{379BC7D0-B384-441B-9642-798F635C5AE2}"/>
    <hyperlink ref="C62" r:id="rId161" display="https://www.investing.com/pro/pricing?entry=income-statement" xr:uid="{90EAC305-6BF7-4D1E-87EF-9A716653B406}"/>
    <hyperlink ref="D62" r:id="rId162" display="https://www.investing.com/pro/pricing?entry=income-statement" xr:uid="{EA98314F-1DC7-47B5-A3BA-41B68F69780E}"/>
    <hyperlink ref="E62" r:id="rId163" display="https://www.investing.com/pro/pricing?entry=income-statement" xr:uid="{547AE3E4-B7F0-443B-8B9C-5BC6EC86F5B7}"/>
    <hyperlink ref="F62" r:id="rId164" display="https://www.investing.com/pro/pricing?entry=income-statement" xr:uid="{EDA95CE8-4ED6-426A-BC7F-F636045A3AD5}"/>
    <hyperlink ref="G62" r:id="rId165" display="https://www.investing.com/pro/pricing?entry=income-statement" xr:uid="{3EB48457-2D71-4897-95F0-D5654A9F4D0F}"/>
    <hyperlink ref="C64" r:id="rId166" display="https://www.investing.com/pro/pricing?entry=income-statement" xr:uid="{DCDE47EE-B3C8-41A2-9CF7-04A01BCB84F2}"/>
    <hyperlink ref="D64" r:id="rId167" display="https://www.investing.com/pro/pricing?entry=income-statement" xr:uid="{17932655-ED85-4724-9228-5A2D9B65E8C7}"/>
    <hyperlink ref="E64" r:id="rId168" display="https://www.investing.com/pro/pricing?entry=income-statement" xr:uid="{6B049A58-8B27-4337-8ED6-1C49AF52325D}"/>
    <hyperlink ref="F64" r:id="rId169" display="https://www.investing.com/pro/pricing?entry=income-statement" xr:uid="{B8F9000D-7127-4E99-93B8-7351005911AB}"/>
    <hyperlink ref="G64" r:id="rId170" display="https://www.investing.com/pro/pricing?entry=income-statement" xr:uid="{189C269F-4C91-42B7-894A-EA62E767FBD2}"/>
    <hyperlink ref="C66" r:id="rId171" display="https://www.investing.com/pro/pricing?entry=income-statement" xr:uid="{EFCA6B80-2EB1-4A0B-895E-258E2DEFD8E8}"/>
    <hyperlink ref="D66" r:id="rId172" display="https://www.investing.com/pro/pricing?entry=income-statement" xr:uid="{4D135843-890E-4BFB-B1C4-1A0B51356551}"/>
    <hyperlink ref="E66" r:id="rId173" display="https://www.investing.com/pro/pricing?entry=income-statement" xr:uid="{11E0A601-3CF0-47B8-A470-09BF3365476F}"/>
    <hyperlink ref="F66" r:id="rId174" display="https://www.investing.com/pro/pricing?entry=income-statement" xr:uid="{99A49592-5188-4890-AFBD-06CDBCAF582A}"/>
    <hyperlink ref="G66" r:id="rId175" display="https://www.investing.com/pro/pricing?entry=income-statement" xr:uid="{0E51E04F-91D7-4EDC-B566-615A5996C8B3}"/>
    <hyperlink ref="C68" r:id="rId176" display="https://www.investing.com/pro/pricing?entry=income-statement" xr:uid="{8B032248-5308-41FD-8029-62539DE30613}"/>
    <hyperlink ref="D68" r:id="rId177" display="https://www.investing.com/pro/pricing?entry=income-statement" xr:uid="{0AA86C06-F87A-433D-A049-1D0192E66260}"/>
    <hyperlink ref="E68" r:id="rId178" display="https://www.investing.com/pro/pricing?entry=income-statement" xr:uid="{9C7129C3-E9A2-4FE0-8E8F-C71334BA852A}"/>
    <hyperlink ref="F68" r:id="rId179" display="https://www.investing.com/pro/pricing?entry=income-statement" xr:uid="{B735149D-371C-41BF-9246-AECD23BF033B}"/>
    <hyperlink ref="G68" r:id="rId180" display="https://www.investing.com/pro/pricing?entry=income-statement" xr:uid="{3C18087D-292B-4452-A364-919F00078295}"/>
    <hyperlink ref="C70" r:id="rId181" display="https://www.investing.com/pro/pricing?entry=income-statement" xr:uid="{E5DB478F-89B0-4465-BD42-51C4EF22DB7D}"/>
    <hyperlink ref="D70" r:id="rId182" display="https://www.investing.com/pro/pricing?entry=income-statement" xr:uid="{E503DCC8-D07C-4B59-9E1F-C4319BDC92B2}"/>
    <hyperlink ref="E70" r:id="rId183" display="https://www.investing.com/pro/pricing?entry=income-statement" xr:uid="{F802749E-887E-4A01-8F61-0DCA8B0AB34C}"/>
    <hyperlink ref="F70" r:id="rId184" display="https://www.investing.com/pro/pricing?entry=income-statement" xr:uid="{72902698-8E58-427C-A0FD-FA4AB96F63AC}"/>
    <hyperlink ref="G70" r:id="rId185" display="https://www.investing.com/pro/pricing?entry=income-statement" xr:uid="{25B70ECB-4977-4EC2-87DA-128E3CEE29EB}"/>
    <hyperlink ref="C72" r:id="rId186" display="https://www.investing.com/pro/pricing?entry=income-statement" xr:uid="{3C6B7E7F-B0C3-4EA0-825D-B64F48A40F72}"/>
    <hyperlink ref="D72" r:id="rId187" display="https://www.investing.com/pro/pricing?entry=income-statement" xr:uid="{085AB487-0C65-48B6-BB4D-2BA78ED93F27}"/>
    <hyperlink ref="E72" r:id="rId188" display="https://www.investing.com/pro/pricing?entry=income-statement" xr:uid="{05BA7536-F9F6-4BE5-9F01-04BB954FD125}"/>
    <hyperlink ref="F72" r:id="rId189" display="https://www.investing.com/pro/pricing?entry=income-statement" xr:uid="{C83230B0-600A-4C39-81D9-0ED9F277B589}"/>
    <hyperlink ref="G72" r:id="rId190" display="https://www.investing.com/pro/pricing?entry=income-statement" xr:uid="{0CD13C45-DA26-4B57-B90F-18D5471C1FD6}"/>
    <hyperlink ref="C74" r:id="rId191" display="https://www.investing.com/pro/pricing?entry=income-statement" xr:uid="{D2D43173-D38B-48CC-92B7-6F6AEEA58CBC}"/>
    <hyperlink ref="D74" r:id="rId192" display="https://www.investing.com/pro/pricing?entry=income-statement" xr:uid="{390AE975-2E92-4265-8F3A-AB7BDB4BF97F}"/>
    <hyperlink ref="E74" r:id="rId193" display="https://www.investing.com/pro/pricing?entry=income-statement" xr:uid="{9D5C4DB1-6C5E-4985-92FB-4D20F874A965}"/>
    <hyperlink ref="F74" r:id="rId194" display="https://www.investing.com/pro/pricing?entry=income-statement" xr:uid="{45C05355-8186-4958-97C2-24F0214EF9EA}"/>
    <hyperlink ref="G74" r:id="rId195" display="https://www.investing.com/pro/pricing?entry=income-statement" xr:uid="{8CA94413-DAA3-47F2-8F9F-06CB08CAA0BC}"/>
    <hyperlink ref="C76" r:id="rId196" display="https://www.investing.com/pro/pricing?entry=income-statement" xr:uid="{37E4A254-728B-4D8D-AE96-87CCEB5772B7}"/>
    <hyperlink ref="D76" r:id="rId197" display="https://www.investing.com/pro/pricing?entry=income-statement" xr:uid="{4CFEAA46-7268-467B-AF36-8BEECB090C3A}"/>
    <hyperlink ref="E76" r:id="rId198" display="https://www.investing.com/pro/pricing?entry=income-statement" xr:uid="{298E6B2B-05C0-4954-98AE-44E4DFB3DC0B}"/>
    <hyperlink ref="F76" r:id="rId199" display="https://www.investing.com/pro/pricing?entry=income-statement" xr:uid="{A426F8C9-092B-48CC-9067-04DD976A275A}"/>
    <hyperlink ref="G76" r:id="rId200" display="https://www.investing.com/pro/pricing?entry=income-statement" xr:uid="{05F61A3E-279F-44CD-8324-D97CB10F9FDB}"/>
    <hyperlink ref="C78" r:id="rId201" display="https://www.investing.com/pro/pricing?entry=income-statement" xr:uid="{CBA2E7EB-9254-4055-A50C-2F6351C2560E}"/>
    <hyperlink ref="D78" r:id="rId202" display="https://www.investing.com/pro/pricing?entry=income-statement" xr:uid="{1D1B46FA-1B14-4A22-9EE0-7F90359AB79B}"/>
    <hyperlink ref="E78" r:id="rId203" display="https://www.investing.com/pro/pricing?entry=income-statement" xr:uid="{13C49101-7AED-44BF-AD3C-79C7F454A39E}"/>
    <hyperlink ref="F78" r:id="rId204" display="https://www.investing.com/pro/pricing?entry=income-statement" xr:uid="{67DA53B9-5D0C-49FC-9595-8D43934AB658}"/>
    <hyperlink ref="G78" r:id="rId205" display="https://www.investing.com/pro/pricing?entry=income-statement" xr:uid="{2807EFBF-89AE-4D0F-A524-4C5AE6CD3490}"/>
    <hyperlink ref="C80" r:id="rId206" display="https://www.investing.com/pro/pricing?entry=income-statement" xr:uid="{2EB9FEA8-7E9A-49B3-8887-8D5CC0C7CB66}"/>
    <hyperlink ref="D80" r:id="rId207" display="https://www.investing.com/pro/pricing?entry=income-statement" xr:uid="{E1DF6244-9872-481F-90FE-22178853CB52}"/>
    <hyperlink ref="E80" r:id="rId208" display="https://www.investing.com/pro/pricing?entry=income-statement" xr:uid="{65D7F31E-F872-43D6-A15E-4FC62C30E6E1}"/>
    <hyperlink ref="F80" r:id="rId209" display="https://www.investing.com/pro/pricing?entry=income-statement" xr:uid="{AF6F1829-439B-413D-8AE3-ABC548B9E7D6}"/>
    <hyperlink ref="G80" r:id="rId210" display="https://www.investing.com/pro/pricing?entry=income-statement" xr:uid="{38303FAE-2F83-4C2B-8756-45921BDCF150}"/>
    <hyperlink ref="C82" r:id="rId211" display="https://www.investing.com/pro/pricing?entry=income-statement" xr:uid="{E8219D2B-A045-42D6-8BD3-CA5604F12898}"/>
    <hyperlink ref="D82" r:id="rId212" display="https://www.investing.com/pro/pricing?entry=income-statement" xr:uid="{5A188B84-DFA1-438C-82B2-90BCA705AD22}"/>
    <hyperlink ref="E82" r:id="rId213" display="https://www.investing.com/pro/pricing?entry=income-statement" xr:uid="{0D4D187D-9905-4BAC-9927-1EF97CEB89C4}"/>
    <hyperlink ref="F82" r:id="rId214" display="https://www.investing.com/pro/pricing?entry=income-statement" xr:uid="{AD9A9B87-63C1-4E86-95E5-147BE072CAAD}"/>
    <hyperlink ref="G82" r:id="rId215" display="https://www.investing.com/pro/pricing?entry=income-statement" xr:uid="{3513832F-F579-487F-BC3E-826DF08465FB}"/>
    <hyperlink ref="C84" r:id="rId216" display="https://www.investing.com/pro/pricing?entry=income-statement" xr:uid="{19F01903-7B27-43A9-A578-C6032FC98ADB}"/>
    <hyperlink ref="D84" r:id="rId217" display="https://www.investing.com/pro/pricing?entry=income-statement" xr:uid="{CB36D070-C44F-4784-BFF1-888F244E782A}"/>
    <hyperlink ref="E84" r:id="rId218" display="https://www.investing.com/pro/pricing?entry=income-statement" xr:uid="{B32C6ED6-6DA5-41B5-B70A-F96658A3824B}"/>
    <hyperlink ref="F84" r:id="rId219" display="https://www.investing.com/pro/pricing?entry=income-statement" xr:uid="{030C1BB9-B07E-497B-9655-A6E433CE6B4F}"/>
    <hyperlink ref="G84" r:id="rId220" display="https://www.investing.com/pro/pricing?entry=income-statement" xr:uid="{6334AB35-2FEC-419B-A509-9E14BB8FC80C}"/>
    <hyperlink ref="C86" r:id="rId221" display="https://www.investing.com/pro/pricing?entry=income-statement" xr:uid="{B188EDA8-D951-4FD8-82BB-FBAD09FF8553}"/>
    <hyperlink ref="D86" r:id="rId222" display="https://www.investing.com/pro/pricing?entry=income-statement" xr:uid="{0EF4A43C-2808-41CC-B3DA-71C4E8BDF169}"/>
    <hyperlink ref="E86" r:id="rId223" display="https://www.investing.com/pro/pricing?entry=income-statement" xr:uid="{41637136-7E40-4955-A1E6-247AAAA46657}"/>
    <hyperlink ref="F86" r:id="rId224" display="https://www.investing.com/pro/pricing?entry=income-statement" xr:uid="{A14E4F3B-B7C3-48B3-9244-6BE1B867F1DE}"/>
    <hyperlink ref="G86" r:id="rId225" display="https://www.investing.com/pro/pricing?entry=income-statement" xr:uid="{80615F7C-345E-40B9-821A-A89DD3E16C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8E6C-E1B3-435E-881B-D7EB4FAF153E}">
  <dimension ref="A1:L70"/>
  <sheetViews>
    <sheetView workbookViewId="0">
      <selection activeCell="H14" sqref="H14"/>
    </sheetView>
  </sheetViews>
  <sheetFormatPr defaultRowHeight="15"/>
  <cols>
    <col min="8" max="8" width="23.140625" customWidth="1"/>
    <col min="9" max="9" width="21" customWidth="1"/>
    <col min="10" max="10" width="19" customWidth="1"/>
    <col min="11" max="11" width="16.7109375" customWidth="1"/>
    <col min="12" max="12" width="17.5703125" customWidth="1"/>
  </cols>
  <sheetData>
    <row r="1" spans="1:12" ht="16.5">
      <c r="A1" s="60" t="s">
        <v>0</v>
      </c>
      <c r="B1" s="29"/>
      <c r="C1" s="29"/>
      <c r="D1" s="29"/>
      <c r="E1" s="29"/>
      <c r="F1" s="29"/>
      <c r="H1" s="29">
        <v>2021</v>
      </c>
      <c r="I1" s="29">
        <v>2022</v>
      </c>
      <c r="J1" s="29">
        <v>2023</v>
      </c>
      <c r="K1" s="29">
        <v>2024</v>
      </c>
      <c r="L1" s="29">
        <v>2025</v>
      </c>
    </row>
    <row r="2" spans="1:12" ht="17.25" thickBot="1">
      <c r="A2" s="61"/>
      <c r="B2" s="1"/>
      <c r="C2" s="1"/>
      <c r="D2" s="1"/>
      <c r="E2" s="1"/>
      <c r="F2" s="1"/>
      <c r="H2" s="1">
        <v>45747</v>
      </c>
      <c r="I2" s="1">
        <v>45747</v>
      </c>
      <c r="J2" s="1">
        <v>45747</v>
      </c>
      <c r="K2" s="1">
        <v>45747</v>
      </c>
      <c r="L2" s="1">
        <v>45747</v>
      </c>
    </row>
    <row r="3" spans="1:12" ht="17.25" thickBot="1">
      <c r="A3" s="2"/>
      <c r="B3" s="4" t="s">
        <v>48</v>
      </c>
      <c r="C3" s="3"/>
      <c r="D3" s="3"/>
      <c r="E3" s="3"/>
      <c r="F3" s="3"/>
      <c r="G3" s="3"/>
      <c r="H3" s="32">
        <v>1949668.3</v>
      </c>
      <c r="I3" s="32">
        <v>2082030.8</v>
      </c>
      <c r="J3" s="32">
        <v>2222043.2000000002</v>
      </c>
      <c r="K3" s="33">
        <v>2185886</v>
      </c>
      <c r="L3" s="32">
        <v>2453417.1</v>
      </c>
    </row>
    <row r="4" spans="1:12" ht="16.5">
      <c r="A4" s="4"/>
      <c r="B4" s="4" t="s">
        <v>49</v>
      </c>
      <c r="C4" s="5"/>
      <c r="D4" s="5"/>
      <c r="E4" s="5"/>
      <c r="F4" s="5"/>
      <c r="G4" s="5"/>
      <c r="H4" s="8">
        <v>133735.20000000001</v>
      </c>
      <c r="I4" s="8">
        <v>137702.39999999999</v>
      </c>
      <c r="J4" s="8">
        <v>169266.9</v>
      </c>
      <c r="K4" s="23">
        <v>119585</v>
      </c>
      <c r="L4" s="23">
        <v>121870</v>
      </c>
    </row>
    <row r="5" spans="1:12" ht="16.5">
      <c r="A5" s="4"/>
      <c r="B5" s="4" t="s">
        <v>50</v>
      </c>
      <c r="C5" s="5"/>
      <c r="D5" s="5"/>
      <c r="E5" s="5"/>
      <c r="F5" s="5"/>
      <c r="G5" s="5"/>
      <c r="H5" s="6">
        <v>0.18090000000000001</v>
      </c>
      <c r="I5" s="6">
        <v>2.9700000000000001E-2</v>
      </c>
      <c r="J5" s="6">
        <v>0.22919999999999999</v>
      </c>
      <c r="K5" s="24">
        <v>-0.29349999999999998</v>
      </c>
      <c r="L5" s="6">
        <v>1.9099999999999999E-2</v>
      </c>
    </row>
    <row r="6" spans="1:12" ht="16.5">
      <c r="A6" s="4"/>
      <c r="B6" s="4" t="s">
        <v>51</v>
      </c>
      <c r="C6" s="5"/>
      <c r="D6" s="5"/>
      <c r="E6" s="5"/>
      <c r="F6" s="5"/>
      <c r="G6" s="5"/>
      <c r="H6" s="8">
        <v>316277.2</v>
      </c>
      <c r="I6" s="8">
        <v>322617.8</v>
      </c>
      <c r="J6" s="8">
        <v>375106.1</v>
      </c>
      <c r="K6" s="8">
        <v>366737.6</v>
      </c>
      <c r="L6" s="8">
        <v>484070.1</v>
      </c>
    </row>
    <row r="7" spans="1:12" ht="16.5">
      <c r="A7" s="4"/>
      <c r="B7" s="4" t="s">
        <v>52</v>
      </c>
      <c r="C7" s="5"/>
      <c r="D7" s="5"/>
      <c r="E7" s="5"/>
      <c r="F7" s="5"/>
      <c r="G7" s="5"/>
      <c r="H7" s="8">
        <v>910244.1</v>
      </c>
      <c r="I7" s="8">
        <v>1006981.9</v>
      </c>
      <c r="J7" s="8">
        <v>1039780.8</v>
      </c>
      <c r="K7" s="23">
        <v>1137303</v>
      </c>
      <c r="L7" s="8">
        <v>1192515.7</v>
      </c>
    </row>
    <row r="8" spans="1:12" ht="16.5">
      <c r="A8" s="4"/>
      <c r="B8" s="4" t="s">
        <v>53</v>
      </c>
      <c r="C8" s="5"/>
      <c r="D8" s="5"/>
      <c r="E8" s="5"/>
      <c r="F8" s="5"/>
      <c r="G8" s="5"/>
      <c r="H8" s="8">
        <v>906868.5</v>
      </c>
      <c r="I8" s="8">
        <v>995465.3</v>
      </c>
      <c r="J8" s="8">
        <v>1019526.9</v>
      </c>
      <c r="K8" s="8">
        <v>1108214.2</v>
      </c>
      <c r="L8" s="8">
        <v>1172380.5</v>
      </c>
    </row>
    <row r="9" spans="1:12" ht="16.5">
      <c r="A9" s="4"/>
      <c r="B9" s="4" t="s">
        <v>54</v>
      </c>
      <c r="C9" s="5"/>
      <c r="D9" s="5"/>
      <c r="E9" s="5"/>
      <c r="F9" s="5"/>
      <c r="G9" s="5"/>
      <c r="H9" s="8">
        <v>1022.1</v>
      </c>
      <c r="I9" s="8">
        <v>8713.2000000000007</v>
      </c>
      <c r="J9" s="8">
        <v>17742.400000000001</v>
      </c>
      <c r="K9" s="8">
        <v>28023.4</v>
      </c>
      <c r="L9" s="8">
        <v>15966.7</v>
      </c>
    </row>
    <row r="10" spans="1:12" ht="16.5">
      <c r="A10" s="4"/>
      <c r="B10" s="4" t="s">
        <v>55</v>
      </c>
      <c r="C10" s="5"/>
      <c r="D10" s="5"/>
      <c r="E10" s="5"/>
      <c r="F10" s="5"/>
      <c r="G10" s="5"/>
      <c r="H10" s="8">
        <v>58205.4</v>
      </c>
      <c r="I10" s="8">
        <v>59433.2</v>
      </c>
      <c r="J10" s="8">
        <v>68287.8</v>
      </c>
      <c r="K10" s="8">
        <v>66201.899999999994</v>
      </c>
      <c r="L10" s="8">
        <v>76705.5</v>
      </c>
    </row>
    <row r="11" spans="1:12" ht="16.5">
      <c r="A11" s="4"/>
      <c r="B11" s="4" t="s">
        <v>56</v>
      </c>
      <c r="C11" s="5"/>
      <c r="D11" s="5"/>
      <c r="E11" s="5"/>
      <c r="F11" s="5"/>
      <c r="G11" s="5"/>
      <c r="H11" s="7" t="s">
        <v>10</v>
      </c>
      <c r="I11" s="7" t="s">
        <v>10</v>
      </c>
      <c r="J11" s="7" t="s">
        <v>10</v>
      </c>
      <c r="K11" s="7" t="s">
        <v>10</v>
      </c>
      <c r="L11" s="7" t="s">
        <v>10</v>
      </c>
    </row>
    <row r="12" spans="1:12" ht="16.5">
      <c r="A12" s="4"/>
      <c r="B12" s="4" t="s">
        <v>57</v>
      </c>
      <c r="C12" s="5"/>
      <c r="D12" s="5"/>
      <c r="E12" s="5"/>
      <c r="F12" s="5"/>
      <c r="G12" s="5"/>
      <c r="H12" s="8">
        <v>413790.3</v>
      </c>
      <c r="I12" s="23">
        <v>422692</v>
      </c>
      <c r="J12" s="8">
        <v>404605.5</v>
      </c>
      <c r="K12" s="8">
        <v>348145.9</v>
      </c>
      <c r="L12" s="8">
        <v>360775.1</v>
      </c>
    </row>
    <row r="13" spans="1:12" ht="16.5">
      <c r="A13" s="4"/>
      <c r="B13" s="4" t="s">
        <v>58</v>
      </c>
      <c r="C13" s="5"/>
      <c r="D13" s="5"/>
      <c r="E13" s="5"/>
      <c r="F13" s="5"/>
      <c r="G13" s="5"/>
      <c r="H13" s="7" t="s">
        <v>10</v>
      </c>
      <c r="I13" s="7" t="s">
        <v>10</v>
      </c>
      <c r="J13" s="7" t="s">
        <v>10</v>
      </c>
      <c r="K13" s="7" t="s">
        <v>10</v>
      </c>
      <c r="L13" s="7" t="s">
        <v>10</v>
      </c>
    </row>
    <row r="14" spans="1:12" ht="16.5">
      <c r="A14" s="4"/>
      <c r="B14" s="4" t="s">
        <v>59</v>
      </c>
      <c r="C14" s="5"/>
      <c r="D14" s="5"/>
      <c r="E14" s="5"/>
      <c r="F14" s="5"/>
      <c r="G14" s="5"/>
      <c r="H14" s="8">
        <v>117416.1</v>
      </c>
      <c r="I14" s="8">
        <v>132603.5</v>
      </c>
      <c r="J14" s="8">
        <v>164996.1</v>
      </c>
      <c r="K14" s="8">
        <v>147912.6</v>
      </c>
      <c r="L14" s="8">
        <v>217480.7</v>
      </c>
    </row>
    <row r="15" spans="1:12" ht="16.5">
      <c r="A15" s="4"/>
      <c r="B15" s="4" t="s">
        <v>60</v>
      </c>
      <c r="C15" s="5"/>
      <c r="D15" s="5"/>
      <c r="E15" s="5"/>
      <c r="F15" s="5"/>
      <c r="G15" s="5"/>
      <c r="H15" s="8">
        <v>11710.5</v>
      </c>
      <c r="I15" s="8">
        <v>10165.6</v>
      </c>
      <c r="J15" s="8">
        <v>7900.6</v>
      </c>
      <c r="K15" s="8">
        <v>6049.9</v>
      </c>
      <c r="L15" s="8">
        <v>8592.2000000000007</v>
      </c>
    </row>
    <row r="16" spans="1:12" ht="16.5">
      <c r="A16" s="4"/>
      <c r="B16" s="4" t="s">
        <v>61</v>
      </c>
      <c r="C16" s="5"/>
      <c r="D16" s="5"/>
      <c r="E16" s="5"/>
      <c r="F16" s="5"/>
      <c r="G16" s="5"/>
      <c r="H16" s="8">
        <v>105705.60000000001</v>
      </c>
      <c r="I16" s="8">
        <v>122437.9</v>
      </c>
      <c r="J16" s="8">
        <v>157095.5</v>
      </c>
      <c r="K16" s="8">
        <v>141862.70000000001</v>
      </c>
      <c r="L16" s="8">
        <v>208888.5</v>
      </c>
    </row>
    <row r="17" spans="1:12" ht="17.25" thickBot="1">
      <c r="A17" s="2"/>
      <c r="B17" s="4" t="s">
        <v>62</v>
      </c>
      <c r="C17" s="3"/>
      <c r="D17" s="3"/>
      <c r="E17" s="3"/>
      <c r="F17" s="3"/>
      <c r="G17" s="3"/>
      <c r="H17" s="32">
        <v>3112737.1</v>
      </c>
      <c r="I17" s="32">
        <v>3200672.4</v>
      </c>
      <c r="J17" s="32">
        <v>3303523.1</v>
      </c>
      <c r="K17" s="32">
        <v>3401359.7</v>
      </c>
      <c r="L17" s="33">
        <v>3795241</v>
      </c>
    </row>
    <row r="18" spans="1:12" ht="16.5">
      <c r="A18" s="4"/>
      <c r="B18" s="4" t="s">
        <v>63</v>
      </c>
      <c r="C18" s="5"/>
      <c r="D18" s="5"/>
      <c r="E18" s="5"/>
      <c r="F18" s="5"/>
      <c r="G18" s="5"/>
      <c r="H18" s="6">
        <v>1.0200000000000001E-2</v>
      </c>
      <c r="I18" s="6">
        <v>2.8299999999999999E-2</v>
      </c>
      <c r="J18" s="6">
        <v>3.2099999999999997E-2</v>
      </c>
      <c r="K18" s="6">
        <v>2.9600000000000001E-2</v>
      </c>
      <c r="L18" s="6">
        <v>0.1158</v>
      </c>
    </row>
    <row r="19" spans="1:12" ht="16.5">
      <c r="A19" s="4"/>
      <c r="B19" s="4" t="s">
        <v>64</v>
      </c>
      <c r="C19" s="5"/>
      <c r="D19" s="5"/>
      <c r="E19" s="5"/>
      <c r="F19" s="5"/>
      <c r="G19" s="5"/>
      <c r="H19" s="8">
        <v>137961.9</v>
      </c>
      <c r="I19" s="8">
        <v>137378.1</v>
      </c>
      <c r="J19" s="8">
        <v>164232.4</v>
      </c>
      <c r="K19" s="8">
        <v>184840.9</v>
      </c>
      <c r="L19" s="8">
        <v>193884.4</v>
      </c>
    </row>
    <row r="20" spans="1:12" ht="16.5">
      <c r="A20" s="4"/>
      <c r="B20" s="4" t="s">
        <v>65</v>
      </c>
      <c r="C20" s="5"/>
      <c r="D20" s="5"/>
      <c r="E20" s="5"/>
      <c r="F20" s="5"/>
      <c r="G20" s="5"/>
      <c r="H20" s="8">
        <v>220077.7</v>
      </c>
      <c r="I20" s="8">
        <v>231116.79999999999</v>
      </c>
      <c r="J20" s="8">
        <v>272999.59999999998</v>
      </c>
      <c r="K20" s="8">
        <v>308637.2</v>
      </c>
      <c r="L20" s="8">
        <v>339066.1</v>
      </c>
    </row>
    <row r="21" spans="1:12" ht="16.5">
      <c r="A21" s="4"/>
      <c r="B21" s="4" t="s">
        <v>66</v>
      </c>
      <c r="C21" s="5"/>
      <c r="D21" s="5"/>
      <c r="E21" s="5"/>
      <c r="F21" s="5"/>
      <c r="G21" s="5"/>
      <c r="H21" s="8">
        <v>-82115.8</v>
      </c>
      <c r="I21" s="8">
        <v>-93738.7</v>
      </c>
      <c r="J21" s="8">
        <v>-108767.2</v>
      </c>
      <c r="K21" s="8">
        <v>-123796.3</v>
      </c>
      <c r="L21" s="8">
        <v>-145181.70000000001</v>
      </c>
    </row>
    <row r="22" spans="1:12" ht="16.5">
      <c r="A22" s="4"/>
      <c r="B22" s="4" t="s">
        <v>67</v>
      </c>
      <c r="C22" s="5"/>
      <c r="D22" s="5"/>
      <c r="E22" s="5"/>
      <c r="F22" s="5"/>
      <c r="G22" s="5"/>
      <c r="H22" s="8">
        <v>88434.7</v>
      </c>
      <c r="I22" s="8">
        <v>104276.2</v>
      </c>
      <c r="J22" s="8">
        <v>102742.39999999999</v>
      </c>
      <c r="K22" s="8">
        <v>111687.1</v>
      </c>
      <c r="L22" s="8">
        <v>116700.9</v>
      </c>
    </row>
    <row r="23" spans="1:12" ht="16.5">
      <c r="A23" s="4"/>
      <c r="B23" s="4" t="s">
        <v>68</v>
      </c>
      <c r="C23" s="5"/>
      <c r="D23" s="5"/>
      <c r="E23" s="5"/>
      <c r="F23" s="5"/>
      <c r="G23" s="5"/>
      <c r="H23" s="8">
        <v>273753.8</v>
      </c>
      <c r="I23" s="8">
        <v>264929.09999999998</v>
      </c>
      <c r="J23" s="8">
        <v>259227.4</v>
      </c>
      <c r="K23" s="8">
        <v>253326.2</v>
      </c>
      <c r="L23" s="8">
        <v>255967.7</v>
      </c>
    </row>
    <row r="24" spans="1:12" ht="16.5">
      <c r="A24" s="4"/>
      <c r="B24" s="4" t="s">
        <v>69</v>
      </c>
      <c r="C24" s="5"/>
      <c r="D24" s="5"/>
      <c r="E24" s="5"/>
      <c r="F24" s="5"/>
      <c r="G24" s="5"/>
      <c r="H24" s="8">
        <v>80669.600000000006</v>
      </c>
      <c r="I24" s="8">
        <v>76851.7</v>
      </c>
      <c r="J24" s="8">
        <v>77986.5</v>
      </c>
      <c r="K24" s="8">
        <v>78008.800000000003</v>
      </c>
      <c r="L24" s="8">
        <v>83484.800000000003</v>
      </c>
    </row>
    <row r="25" spans="1:12" ht="16.5">
      <c r="A25" s="4"/>
      <c r="B25" s="4" t="s">
        <v>70</v>
      </c>
      <c r="C25" s="5"/>
      <c r="D25" s="5"/>
      <c r="E25" s="5"/>
      <c r="F25" s="5"/>
      <c r="G25" s="5"/>
      <c r="H25" s="8">
        <v>193084.2</v>
      </c>
      <c r="I25" s="8">
        <v>188077.4</v>
      </c>
      <c r="J25" s="8">
        <v>181240.9</v>
      </c>
      <c r="K25" s="8">
        <v>175317.4</v>
      </c>
      <c r="L25" s="8">
        <v>172482.9</v>
      </c>
    </row>
    <row r="26" spans="1:12" ht="16.5">
      <c r="A26" s="4"/>
      <c r="B26" s="4" t="s">
        <v>71</v>
      </c>
      <c r="C26" s="5"/>
      <c r="D26" s="5"/>
      <c r="E26" s="5"/>
      <c r="F26" s="5"/>
      <c r="G26" s="5"/>
      <c r="H26" s="8">
        <v>526316.69999999995</v>
      </c>
      <c r="I26" s="8">
        <v>467368.4</v>
      </c>
      <c r="J26" s="8">
        <v>409209.2</v>
      </c>
      <c r="K26" s="8">
        <v>521547.6</v>
      </c>
      <c r="L26" s="8">
        <v>628473.5</v>
      </c>
    </row>
    <row r="27" spans="1:12" ht="16.5">
      <c r="A27" s="4"/>
      <c r="B27" s="4" t="s">
        <v>72</v>
      </c>
      <c r="C27" s="5"/>
      <c r="D27" s="5"/>
      <c r="E27" s="5"/>
      <c r="F27" s="5"/>
      <c r="G27" s="5"/>
      <c r="H27" s="8">
        <v>136601.70000000001</v>
      </c>
      <c r="I27" s="8">
        <v>144689.79999999999</v>
      </c>
      <c r="J27" s="8">
        <v>146068.5</v>
      </c>
      <c r="K27" s="8">
        <v>144071.9</v>
      </c>
      <c r="L27" s="8">
        <v>146797.4</v>
      </c>
    </row>
    <row r="28" spans="1:12" ht="16.5">
      <c r="A28" s="4"/>
      <c r="B28" s="4" t="s">
        <v>73</v>
      </c>
      <c r="C28" s="5"/>
      <c r="D28" s="5"/>
      <c r="E28" s="5"/>
      <c r="F28" s="5"/>
      <c r="G28" s="5"/>
      <c r="H28" s="8">
        <v>1732.4</v>
      </c>
      <c r="I28" s="8">
        <v>2845.4</v>
      </c>
      <c r="J28" s="23">
        <v>3560</v>
      </c>
      <c r="K28" s="8">
        <v>4754.6000000000004</v>
      </c>
      <c r="L28" s="8">
        <v>3489.6</v>
      </c>
    </row>
    <row r="29" spans="1:12" ht="16.5">
      <c r="A29" s="4"/>
      <c r="B29" s="4" t="s">
        <v>74</v>
      </c>
      <c r="C29" s="5"/>
      <c r="D29" s="5"/>
      <c r="E29" s="5"/>
      <c r="F29" s="5"/>
      <c r="G29" s="5"/>
      <c r="H29" s="7" t="s">
        <v>10</v>
      </c>
      <c r="I29" s="7" t="s">
        <v>10</v>
      </c>
      <c r="J29" s="7" t="s">
        <v>10</v>
      </c>
      <c r="K29" s="7" t="s">
        <v>10</v>
      </c>
      <c r="L29" s="7" t="s">
        <v>10</v>
      </c>
    </row>
    <row r="30" spans="1:12" ht="16.5">
      <c r="A30" s="4"/>
      <c r="B30" s="4" t="s">
        <v>75</v>
      </c>
      <c r="C30" s="5"/>
      <c r="D30" s="5"/>
      <c r="E30" s="5"/>
      <c r="F30" s="5"/>
      <c r="G30" s="5"/>
      <c r="H30" s="23">
        <v>26970</v>
      </c>
      <c r="I30" s="23">
        <v>28401</v>
      </c>
      <c r="J30" s="8">
        <v>39847.9</v>
      </c>
      <c r="K30" s="8">
        <v>38637.199999999997</v>
      </c>
      <c r="L30" s="8">
        <v>37928.800000000003</v>
      </c>
    </row>
    <row r="31" spans="1:12" ht="16.5">
      <c r="A31" s="4"/>
      <c r="B31" s="4" t="s">
        <v>76</v>
      </c>
      <c r="C31" s="5"/>
      <c r="D31" s="5"/>
      <c r="E31" s="5"/>
      <c r="F31" s="5"/>
      <c r="G31" s="5"/>
      <c r="H31" s="7">
        <v>13.6</v>
      </c>
      <c r="I31" s="7">
        <v>8.6</v>
      </c>
      <c r="J31" s="7">
        <v>3.7</v>
      </c>
      <c r="K31" s="7">
        <v>7.5</v>
      </c>
      <c r="L31" s="7">
        <v>2.9</v>
      </c>
    </row>
    <row r="32" spans="1:12" ht="16.5">
      <c r="A32" s="4"/>
      <c r="B32" s="4" t="s">
        <v>77</v>
      </c>
      <c r="C32" s="5"/>
      <c r="D32" s="5"/>
      <c r="E32" s="5"/>
      <c r="F32" s="5"/>
      <c r="G32" s="5"/>
      <c r="H32" s="8">
        <v>107885.7</v>
      </c>
      <c r="I32" s="8">
        <v>113434.8</v>
      </c>
      <c r="J32" s="8">
        <v>102656.9</v>
      </c>
      <c r="K32" s="8">
        <v>100672.6</v>
      </c>
      <c r="L32" s="8">
        <v>105376.1</v>
      </c>
    </row>
    <row r="33" spans="1:12" ht="17.25" thickBot="1">
      <c r="A33" s="2"/>
      <c r="B33" s="4" t="s">
        <v>78</v>
      </c>
      <c r="C33" s="3"/>
      <c r="D33" s="3"/>
      <c r="E33" s="3"/>
      <c r="F33" s="3"/>
      <c r="G33" s="3"/>
      <c r="H33" s="32">
        <v>1374080.1</v>
      </c>
      <c r="I33" s="32">
        <v>1594405.8</v>
      </c>
      <c r="J33" s="32">
        <v>1620659.9</v>
      </c>
      <c r="K33" s="32">
        <v>1771094.6</v>
      </c>
      <c r="L33" s="33">
        <v>2019709</v>
      </c>
    </row>
    <row r="34" spans="1:12" ht="16.5">
      <c r="A34" s="4"/>
      <c r="B34" s="4" t="s">
        <v>79</v>
      </c>
      <c r="C34" s="5"/>
      <c r="D34" s="5"/>
      <c r="E34" s="5"/>
      <c r="F34" s="5"/>
      <c r="G34" s="5"/>
      <c r="H34" s="8">
        <v>457452.3</v>
      </c>
      <c r="I34" s="8">
        <v>513656.2</v>
      </c>
      <c r="J34" s="8">
        <v>497841.2</v>
      </c>
      <c r="K34" s="8">
        <v>532928.80000000005</v>
      </c>
      <c r="L34" s="8">
        <v>524593.4</v>
      </c>
    </row>
    <row r="35" spans="1:12" ht="16.5">
      <c r="A35" s="4"/>
      <c r="B35" s="4" t="s">
        <v>80</v>
      </c>
      <c r="C35" s="5"/>
      <c r="D35" s="5"/>
      <c r="E35" s="5"/>
      <c r="F35" s="5"/>
      <c r="G35" s="5"/>
      <c r="H35" s="8">
        <v>18792.2</v>
      </c>
      <c r="I35" s="8">
        <v>20387.2</v>
      </c>
      <c r="J35" s="8">
        <v>21246.6</v>
      </c>
      <c r="K35" s="23">
        <v>21172</v>
      </c>
      <c r="L35" s="8">
        <v>26149.9</v>
      </c>
    </row>
    <row r="36" spans="1:12" ht="16.5">
      <c r="A36" s="4"/>
      <c r="B36" s="4" t="s">
        <v>81</v>
      </c>
      <c r="C36" s="5"/>
      <c r="D36" s="5"/>
      <c r="E36" s="5"/>
      <c r="F36" s="5"/>
      <c r="G36" s="5"/>
      <c r="H36" s="8">
        <v>277658.3</v>
      </c>
      <c r="I36" s="8">
        <v>304769.59999999998</v>
      </c>
      <c r="J36" s="8">
        <v>308963.20000000001</v>
      </c>
      <c r="K36" s="8">
        <v>278342.7</v>
      </c>
      <c r="L36" s="23">
        <v>358613</v>
      </c>
    </row>
    <row r="37" spans="1:12" ht="16.5">
      <c r="A37" s="4"/>
      <c r="B37" s="4" t="s">
        <v>82</v>
      </c>
      <c r="C37" s="5"/>
      <c r="D37" s="5"/>
      <c r="E37" s="5"/>
      <c r="F37" s="5"/>
      <c r="G37" s="5"/>
      <c r="H37" s="8">
        <v>231254.9</v>
      </c>
      <c r="I37" s="23">
        <v>317795</v>
      </c>
      <c r="J37" s="8">
        <v>268901.3</v>
      </c>
      <c r="K37" s="23">
        <v>302462</v>
      </c>
      <c r="L37" s="8">
        <v>367790.4</v>
      </c>
    </row>
    <row r="38" spans="1:12" ht="16.5">
      <c r="A38" s="4"/>
      <c r="B38" s="4" t="s">
        <v>83</v>
      </c>
      <c r="C38" s="5"/>
      <c r="D38" s="5"/>
      <c r="E38" s="5"/>
      <c r="F38" s="5"/>
      <c r="G38" s="5"/>
      <c r="H38" s="8">
        <v>227193.9</v>
      </c>
      <c r="I38" s="8">
        <v>313729.59999999998</v>
      </c>
      <c r="J38" s="8">
        <v>263993.8</v>
      </c>
      <c r="K38" s="8">
        <v>296985.3</v>
      </c>
      <c r="L38" s="23">
        <v>361947</v>
      </c>
    </row>
    <row r="39" spans="1:12" ht="16.5">
      <c r="A39" s="4"/>
      <c r="B39" s="4" t="s">
        <v>84</v>
      </c>
      <c r="C39" s="5"/>
      <c r="D39" s="5"/>
      <c r="E39" s="5"/>
      <c r="F39" s="5"/>
      <c r="G39" s="5"/>
      <c r="H39" s="23">
        <v>4061</v>
      </c>
      <c r="I39" s="8">
        <v>4065.4</v>
      </c>
      <c r="J39" s="8">
        <v>4907.5</v>
      </c>
      <c r="K39" s="8">
        <v>5476.7</v>
      </c>
      <c r="L39" s="8">
        <v>5843.4</v>
      </c>
    </row>
    <row r="40" spans="1:12" ht="16.5">
      <c r="A40" s="4"/>
      <c r="B40" s="4" t="s">
        <v>85</v>
      </c>
      <c r="C40" s="5"/>
      <c r="D40" s="5"/>
      <c r="E40" s="5"/>
      <c r="F40" s="5"/>
      <c r="G40" s="5"/>
      <c r="H40" s="8">
        <v>388922.4</v>
      </c>
      <c r="I40" s="8">
        <v>437797.8</v>
      </c>
      <c r="J40" s="8">
        <v>523707.6</v>
      </c>
      <c r="K40" s="8">
        <v>636189.1</v>
      </c>
      <c r="L40" s="8">
        <v>742562.3</v>
      </c>
    </row>
    <row r="41" spans="1:12" ht="16.5">
      <c r="A41" s="4"/>
      <c r="B41" s="4" t="s">
        <v>86</v>
      </c>
      <c r="C41" s="5"/>
      <c r="D41" s="5"/>
      <c r="E41" s="5"/>
      <c r="F41" s="5"/>
      <c r="G41" s="5"/>
      <c r="H41" s="8">
        <v>11710.2</v>
      </c>
      <c r="I41" s="8">
        <v>13098.2</v>
      </c>
      <c r="J41" s="8">
        <v>13934.6</v>
      </c>
      <c r="K41" s="8">
        <v>18604.7</v>
      </c>
      <c r="L41" s="8">
        <v>25792.1</v>
      </c>
    </row>
    <row r="42" spans="1:12" ht="16.5">
      <c r="A42" s="4"/>
      <c r="B42" s="4" t="s">
        <v>87</v>
      </c>
      <c r="C42" s="5"/>
      <c r="D42" s="5"/>
      <c r="E42" s="5"/>
      <c r="F42" s="5"/>
      <c r="G42" s="5"/>
      <c r="H42" s="8">
        <v>278197.3</v>
      </c>
      <c r="I42" s="8">
        <v>307815.7</v>
      </c>
      <c r="J42" s="8">
        <v>387958.4</v>
      </c>
      <c r="K42" s="8">
        <v>473735.5</v>
      </c>
      <c r="L42" s="8">
        <v>576134.1</v>
      </c>
    </row>
    <row r="43" spans="1:12" ht="16.5">
      <c r="A43" s="4"/>
      <c r="B43" s="4" t="s">
        <v>88</v>
      </c>
      <c r="C43" s="5"/>
      <c r="D43" s="5"/>
      <c r="E43" s="5"/>
      <c r="F43" s="5"/>
      <c r="G43" s="5"/>
      <c r="H43" s="8">
        <v>99014.9</v>
      </c>
      <c r="I43" s="8">
        <v>116883.9</v>
      </c>
      <c r="J43" s="8">
        <v>121814.6</v>
      </c>
      <c r="K43" s="8">
        <v>143848.9</v>
      </c>
      <c r="L43" s="8">
        <v>140636.1</v>
      </c>
    </row>
    <row r="44" spans="1:12" ht="17.25" thickBot="1">
      <c r="A44" s="2"/>
      <c r="B44" s="4" t="s">
        <v>89</v>
      </c>
      <c r="C44" s="3"/>
      <c r="D44" s="3"/>
      <c r="E44" s="3"/>
      <c r="F44" s="3"/>
      <c r="G44" s="3"/>
      <c r="H44" s="32">
        <v>2233536.5</v>
      </c>
      <c r="I44" s="32">
        <v>2246935.1</v>
      </c>
      <c r="J44" s="32">
        <v>2267850.9</v>
      </c>
      <c r="K44" s="32">
        <v>2375863.1</v>
      </c>
      <c r="L44" s="32">
        <v>2641204.2000000002</v>
      </c>
    </row>
    <row r="45" spans="1:12" ht="16.5">
      <c r="A45" s="4"/>
      <c r="B45" s="4" t="s">
        <v>90</v>
      </c>
      <c r="C45" s="5"/>
      <c r="D45" s="5"/>
      <c r="E45" s="5"/>
      <c r="F45" s="5"/>
      <c r="G45" s="5"/>
      <c r="H45" s="24">
        <v>-3.6799999999999999E-2</v>
      </c>
      <c r="I45" s="6">
        <v>6.0000000000000001E-3</v>
      </c>
      <c r="J45" s="6">
        <v>9.2999999999999992E-3</v>
      </c>
      <c r="K45" s="6">
        <v>4.7600000000000003E-2</v>
      </c>
      <c r="L45" s="6">
        <v>0.11169999999999999</v>
      </c>
    </row>
    <row r="46" spans="1:12" ht="16.5">
      <c r="A46" s="4"/>
      <c r="B46" s="4" t="s">
        <v>91</v>
      </c>
      <c r="C46" s="5"/>
      <c r="D46" s="5"/>
      <c r="E46" s="5"/>
      <c r="F46" s="5"/>
      <c r="G46" s="5"/>
      <c r="H46" s="8">
        <v>821200.4</v>
      </c>
      <c r="I46" s="8">
        <v>616183.1</v>
      </c>
      <c r="J46" s="8">
        <v>612176.80000000005</v>
      </c>
      <c r="K46" s="8">
        <v>565069.69999999995</v>
      </c>
      <c r="L46" s="8">
        <v>575033.4</v>
      </c>
    </row>
    <row r="47" spans="1:12" ht="16.5">
      <c r="A47" s="4"/>
      <c r="B47" s="4" t="s">
        <v>92</v>
      </c>
      <c r="C47" s="5"/>
      <c r="D47" s="5"/>
      <c r="E47" s="5"/>
      <c r="F47" s="5"/>
      <c r="G47" s="5"/>
      <c r="H47" s="8">
        <v>16177.2</v>
      </c>
      <c r="I47" s="8">
        <v>16333.1</v>
      </c>
      <c r="J47" s="8">
        <v>16463.099999999999</v>
      </c>
      <c r="K47" s="8">
        <v>17347.8</v>
      </c>
      <c r="L47" s="8">
        <v>22652.400000000001</v>
      </c>
    </row>
    <row r="48" spans="1:12" ht="16.5">
      <c r="A48" s="4"/>
      <c r="B48" s="4" t="s">
        <v>93</v>
      </c>
      <c r="C48" s="5"/>
      <c r="D48" s="5"/>
      <c r="E48" s="5"/>
      <c r="F48" s="5"/>
      <c r="G48" s="5"/>
      <c r="H48" s="8">
        <v>22078.799999999999</v>
      </c>
      <c r="I48" s="8">
        <v>20013.099999999999</v>
      </c>
      <c r="J48" s="8">
        <v>18551.099999999999</v>
      </c>
      <c r="K48" s="23">
        <v>22351</v>
      </c>
      <c r="L48" s="8">
        <v>23809.4</v>
      </c>
    </row>
    <row r="49" spans="1:12" ht="16.5">
      <c r="A49" s="4"/>
      <c r="B49" s="4" t="s">
        <v>94</v>
      </c>
      <c r="C49" s="5"/>
      <c r="D49" s="5"/>
      <c r="E49" s="5"/>
      <c r="F49" s="5"/>
      <c r="G49" s="5"/>
      <c r="H49" s="7" t="s">
        <v>10</v>
      </c>
      <c r="I49" s="7" t="s">
        <v>10</v>
      </c>
      <c r="J49" s="7">
        <v>646.4</v>
      </c>
      <c r="K49" s="23">
        <v>5850</v>
      </c>
      <c r="L49" s="8">
        <v>5751.7</v>
      </c>
    </row>
    <row r="50" spans="1:12" ht="16.5">
      <c r="A50" s="4"/>
      <c r="B50" s="4" t="s">
        <v>95</v>
      </c>
      <c r="C50" s="5"/>
      <c r="D50" s="5"/>
      <c r="E50" s="5"/>
      <c r="F50" s="5"/>
      <c r="G50" s="5"/>
      <c r="H50" s="23">
        <v>7054</v>
      </c>
      <c r="I50" s="8">
        <v>6995.3</v>
      </c>
      <c r="J50" s="8">
        <v>6953.2</v>
      </c>
      <c r="K50" s="8">
        <v>7416.9</v>
      </c>
      <c r="L50" s="8">
        <v>8134.5</v>
      </c>
    </row>
    <row r="51" spans="1:12" ht="16.5">
      <c r="A51" s="4"/>
      <c r="B51" s="4" t="s">
        <v>96</v>
      </c>
      <c r="C51" s="5"/>
      <c r="D51" s="5"/>
      <c r="E51" s="5"/>
      <c r="F51" s="5"/>
      <c r="G51" s="5"/>
      <c r="H51" s="8">
        <v>11786.6</v>
      </c>
      <c r="I51" s="8">
        <v>10393.299999999999</v>
      </c>
      <c r="J51" s="8">
        <v>6304.3</v>
      </c>
      <c r="K51" s="8">
        <v>5336.3</v>
      </c>
      <c r="L51" s="8">
        <v>4100.1000000000004</v>
      </c>
    </row>
    <row r="52" spans="1:12" ht="16.5">
      <c r="A52" s="4"/>
      <c r="B52" s="4" t="s">
        <v>97</v>
      </c>
      <c r="C52" s="5"/>
      <c r="D52" s="5"/>
      <c r="E52" s="5"/>
      <c r="F52" s="5"/>
      <c r="G52" s="5"/>
      <c r="H52" s="8">
        <v>3238.2</v>
      </c>
      <c r="I52" s="8">
        <v>2624.5</v>
      </c>
      <c r="J52" s="8">
        <v>4647.2</v>
      </c>
      <c r="K52" s="8">
        <v>3747.8</v>
      </c>
      <c r="L52" s="8">
        <v>5823.1</v>
      </c>
    </row>
    <row r="53" spans="1:12" ht="17.25" thickBot="1">
      <c r="A53" s="2"/>
      <c r="B53" s="4" t="s">
        <v>98</v>
      </c>
      <c r="C53" s="3"/>
      <c r="D53" s="3"/>
      <c r="E53" s="3"/>
      <c r="F53" s="3"/>
      <c r="G53" s="3"/>
      <c r="H53" s="32">
        <v>879200.6</v>
      </c>
      <c r="I53" s="32">
        <v>953737.3</v>
      </c>
      <c r="J53" s="32">
        <v>1035672.2</v>
      </c>
      <c r="K53" s="32">
        <v>1025496.6</v>
      </c>
      <c r="L53" s="32">
        <v>1154036.8</v>
      </c>
    </row>
    <row r="54" spans="1:12" ht="16.5">
      <c r="A54" s="4"/>
      <c r="B54" s="4" t="s">
        <v>99</v>
      </c>
      <c r="C54" s="5"/>
      <c r="D54" s="5"/>
      <c r="E54" s="5"/>
      <c r="F54" s="5"/>
      <c r="G54" s="5"/>
      <c r="H54" s="7" t="s">
        <v>10</v>
      </c>
      <c r="I54" s="7" t="s">
        <v>10</v>
      </c>
      <c r="J54" s="7" t="s">
        <v>10</v>
      </c>
      <c r="K54" s="7" t="s">
        <v>10</v>
      </c>
      <c r="L54" s="7" t="s">
        <v>10</v>
      </c>
    </row>
    <row r="55" spans="1:12" ht="16.5">
      <c r="A55" s="4"/>
      <c r="B55" s="4" t="s">
        <v>100</v>
      </c>
      <c r="C55" s="5"/>
      <c r="D55" s="5"/>
      <c r="E55" s="5"/>
      <c r="F55" s="5"/>
      <c r="G55" s="5"/>
      <c r="H55" s="7" t="s">
        <v>10</v>
      </c>
      <c r="I55" s="7" t="s">
        <v>10</v>
      </c>
      <c r="J55" s="7" t="s">
        <v>10</v>
      </c>
      <c r="K55" s="7" t="s">
        <v>10</v>
      </c>
      <c r="L55" s="7" t="s">
        <v>10</v>
      </c>
    </row>
    <row r="56" spans="1:12" ht="16.5">
      <c r="A56" s="4"/>
      <c r="B56" s="4" t="s">
        <v>101</v>
      </c>
      <c r="C56" s="5"/>
      <c r="D56" s="5"/>
      <c r="E56" s="5"/>
      <c r="F56" s="5"/>
      <c r="G56" s="5"/>
      <c r="H56" s="7" t="s">
        <v>10</v>
      </c>
      <c r="I56" s="7" t="s">
        <v>10</v>
      </c>
      <c r="J56" s="7" t="s">
        <v>10</v>
      </c>
      <c r="K56" s="7" t="s">
        <v>10</v>
      </c>
      <c r="L56" s="7" t="s">
        <v>10</v>
      </c>
    </row>
    <row r="57" spans="1:12" ht="16.5">
      <c r="A57" s="4"/>
      <c r="B57" s="4" t="s">
        <v>102</v>
      </c>
      <c r="C57" s="5"/>
      <c r="D57" s="5"/>
      <c r="E57" s="5"/>
      <c r="F57" s="5"/>
      <c r="G57" s="5"/>
      <c r="H57" s="7" t="s">
        <v>10</v>
      </c>
      <c r="I57" s="7" t="s">
        <v>10</v>
      </c>
      <c r="J57" s="7" t="s">
        <v>10</v>
      </c>
      <c r="K57" s="7" t="s">
        <v>10</v>
      </c>
      <c r="L57" s="7" t="s">
        <v>10</v>
      </c>
    </row>
    <row r="58" spans="1:12" ht="16.5">
      <c r="A58" s="4"/>
      <c r="B58" s="4" t="s">
        <v>103</v>
      </c>
      <c r="C58" s="5"/>
      <c r="D58" s="5"/>
      <c r="E58" s="5"/>
      <c r="F58" s="5"/>
      <c r="G58" s="5"/>
      <c r="H58" s="8">
        <v>89485.6</v>
      </c>
      <c r="I58" s="8">
        <v>89997.5</v>
      </c>
      <c r="J58" s="8">
        <v>90512.9</v>
      </c>
      <c r="K58" s="8">
        <v>3254.9</v>
      </c>
      <c r="L58" s="8">
        <v>4134.7</v>
      </c>
    </row>
    <row r="59" spans="1:12" ht="16.5">
      <c r="A59" s="4"/>
      <c r="B59" s="4" t="s">
        <v>104</v>
      </c>
      <c r="C59" s="5"/>
      <c r="D59" s="5"/>
      <c r="E59" s="5"/>
      <c r="F59" s="5"/>
      <c r="G59" s="5"/>
      <c r="H59" s="8">
        <v>2809.1</v>
      </c>
      <c r="I59" s="8">
        <v>2810.1</v>
      </c>
      <c r="J59" s="23">
        <v>2811</v>
      </c>
      <c r="K59" s="8">
        <v>2749.3</v>
      </c>
      <c r="L59" s="8">
        <v>2750.4</v>
      </c>
    </row>
    <row r="60" spans="1:12" ht="16.5">
      <c r="A60" s="4"/>
      <c r="B60" s="4" t="s">
        <v>105</v>
      </c>
      <c r="C60" s="5"/>
      <c r="D60" s="5"/>
      <c r="E60" s="5"/>
      <c r="F60" s="5"/>
      <c r="G60" s="5"/>
      <c r="H60" s="8">
        <v>86676.5</v>
      </c>
      <c r="I60" s="8">
        <v>87187.4</v>
      </c>
      <c r="J60" s="8">
        <v>87701.9</v>
      </c>
      <c r="K60" s="7">
        <v>505.6</v>
      </c>
      <c r="L60" s="8">
        <v>1384.3</v>
      </c>
    </row>
    <row r="61" spans="1:12" ht="16.5">
      <c r="A61" s="4"/>
      <c r="B61" s="4" t="s">
        <v>106</v>
      </c>
      <c r="C61" s="5"/>
      <c r="D61" s="5"/>
      <c r="E61" s="5"/>
      <c r="F61" s="5"/>
      <c r="G61" s="5"/>
      <c r="H61" s="8">
        <v>646392.1</v>
      </c>
      <c r="I61" s="8">
        <v>708503.7</v>
      </c>
      <c r="J61" s="8">
        <v>782955.2</v>
      </c>
      <c r="K61" s="8">
        <v>837212.5</v>
      </c>
      <c r="L61" s="8">
        <v>947393.7</v>
      </c>
    </row>
    <row r="62" spans="1:12" ht="16.5">
      <c r="A62" s="4"/>
      <c r="B62" s="4" t="s">
        <v>107</v>
      </c>
      <c r="C62" s="5"/>
      <c r="D62" s="5"/>
      <c r="E62" s="5"/>
      <c r="F62" s="5"/>
      <c r="G62" s="5"/>
      <c r="H62" s="8">
        <v>22807.599999999999</v>
      </c>
      <c r="I62" s="8">
        <v>25575.4</v>
      </c>
      <c r="J62" s="8">
        <v>19791.400000000001</v>
      </c>
      <c r="K62" s="23">
        <v>23125</v>
      </c>
      <c r="L62" s="8">
        <v>25027.599999999999</v>
      </c>
    </row>
    <row r="63" spans="1:12" ht="16.5">
      <c r="A63" s="4"/>
      <c r="B63" s="4" t="s">
        <v>108</v>
      </c>
      <c r="C63" s="5"/>
      <c r="D63" s="5"/>
      <c r="E63" s="5"/>
      <c r="F63" s="5"/>
      <c r="G63" s="5"/>
      <c r="H63" s="7" t="s">
        <v>10</v>
      </c>
      <c r="I63" s="7" t="s">
        <v>10</v>
      </c>
      <c r="J63" s="7" t="s">
        <v>10</v>
      </c>
      <c r="K63" s="7" t="s">
        <v>10</v>
      </c>
      <c r="L63" s="7" t="s">
        <v>10</v>
      </c>
    </row>
    <row r="64" spans="1:12" ht="16.5">
      <c r="A64" s="4"/>
      <c r="B64" s="4" t="s">
        <v>109</v>
      </c>
      <c r="C64" s="5"/>
      <c r="D64" s="5"/>
      <c r="E64" s="5"/>
      <c r="F64" s="5"/>
      <c r="G64" s="5"/>
      <c r="H64" s="8">
        <v>22807.599999999999</v>
      </c>
      <c r="I64" s="8">
        <v>25575.4</v>
      </c>
      <c r="J64" s="8">
        <v>19791.400000000001</v>
      </c>
      <c r="K64" s="23">
        <v>23125</v>
      </c>
      <c r="L64" s="8">
        <v>25027.599999999999</v>
      </c>
    </row>
    <row r="65" spans="1:12" ht="16.5">
      <c r="A65" s="4"/>
      <c r="B65" s="4" t="s">
        <v>29</v>
      </c>
      <c r="C65" s="5"/>
      <c r="D65" s="5"/>
      <c r="E65" s="5"/>
      <c r="F65" s="5"/>
      <c r="G65" s="5"/>
      <c r="H65" s="8">
        <v>120515.3</v>
      </c>
      <c r="I65" s="8">
        <v>129660.7</v>
      </c>
      <c r="J65" s="8">
        <v>142412.70000000001</v>
      </c>
      <c r="K65" s="8">
        <v>161904.20000000001</v>
      </c>
      <c r="L65" s="8">
        <v>177480.8</v>
      </c>
    </row>
    <row r="66" spans="1:12" ht="17.25" thickBot="1">
      <c r="A66" s="2"/>
      <c r="B66" s="4" t="s">
        <v>110</v>
      </c>
      <c r="C66" s="3"/>
      <c r="D66" s="3"/>
      <c r="E66" s="3"/>
      <c r="F66" s="3"/>
      <c r="G66" s="3"/>
      <c r="H66" s="32">
        <v>3112737.1</v>
      </c>
      <c r="I66" s="32">
        <v>3200672.4</v>
      </c>
      <c r="J66" s="32">
        <v>3303523.1</v>
      </c>
      <c r="K66" s="32">
        <v>3401359.7</v>
      </c>
      <c r="L66" s="33">
        <v>3795241</v>
      </c>
    </row>
    <row r="67" spans="1:12" ht="16.5">
      <c r="A67" s="57"/>
      <c r="B67" s="57"/>
      <c r="C67" s="58"/>
      <c r="D67" s="58"/>
      <c r="E67" s="58"/>
      <c r="F67" s="58"/>
      <c r="G67" s="58"/>
      <c r="H67" s="58"/>
      <c r="I67" s="58"/>
      <c r="J67" s="58"/>
      <c r="K67" s="58"/>
      <c r="L67" s="58"/>
    </row>
    <row r="68" spans="1:12" ht="17.25" thickBot="1">
      <c r="A68" s="2"/>
      <c r="B68" s="4" t="s">
        <v>111</v>
      </c>
      <c r="C68" s="3"/>
      <c r="D68" s="3"/>
      <c r="E68" s="3"/>
      <c r="F68" s="3"/>
      <c r="G68" s="3"/>
      <c r="H68" s="32">
        <v>1068632.5</v>
      </c>
      <c r="I68" s="32">
        <v>950311.2</v>
      </c>
      <c r="J68" s="32">
        <v>897541.2</v>
      </c>
      <c r="K68" s="32">
        <v>884879.5</v>
      </c>
      <c r="L68" s="32">
        <v>965476.2</v>
      </c>
    </row>
    <row r="69" spans="1:12" ht="16.5">
      <c r="A69" s="4"/>
      <c r="B69" s="4" t="s">
        <v>112</v>
      </c>
      <c r="C69" s="5"/>
      <c r="D69" s="5"/>
      <c r="E69" s="5"/>
      <c r="F69" s="5"/>
      <c r="G69" s="5"/>
      <c r="H69" s="24">
        <v>-1.1900000000000001E-2</v>
      </c>
      <c r="I69" s="24">
        <v>-0.11070000000000001</v>
      </c>
      <c r="J69" s="24">
        <v>-5.5500000000000001E-2</v>
      </c>
      <c r="K69" s="24">
        <v>-1.41E-2</v>
      </c>
      <c r="L69" s="6">
        <v>9.11E-2</v>
      </c>
    </row>
    <row r="70" spans="1:12" ht="115.5">
      <c r="A70" s="9" t="s">
        <v>47</v>
      </c>
    </row>
  </sheetData>
  <mergeCells count="3">
    <mergeCell ref="A1:A2"/>
    <mergeCell ref="A67:B67"/>
    <mergeCell ref="C67:L67"/>
  </mergeCells>
  <hyperlinks>
    <hyperlink ref="C3" r:id="rId1" display="https://www.investing.com/pro/pricing?entry=balance-sheet" xr:uid="{A4C8AC33-5B0A-4A2E-9166-4163E7EF07E9}"/>
    <hyperlink ref="D3" r:id="rId2" display="https://www.investing.com/pro/pricing?entry=balance-sheet" xr:uid="{7FDB063C-982B-4A91-BB8F-4E9166E6463B}"/>
    <hyperlink ref="E3" r:id="rId3" display="https://www.investing.com/pro/pricing?entry=balance-sheet" xr:uid="{023548BB-62E7-49FB-997D-1F387453004F}"/>
    <hyperlink ref="F3" r:id="rId4" display="https://www.investing.com/pro/pricing?entry=balance-sheet" xr:uid="{D5F26348-969F-43FD-ACEA-754E10F4EAAC}"/>
    <hyperlink ref="G3" r:id="rId5" display="https://www.investing.com/pro/pricing?entry=balance-sheet" xr:uid="{D5037D22-8C24-4C9A-8025-110ED87EB9B6}"/>
    <hyperlink ref="C4" r:id="rId6" display="https://www.investing.com/pro/pricing?entry=balance-sheet" xr:uid="{084CBB76-F8F0-452C-B199-40573D1A5ABC}"/>
    <hyperlink ref="D4" r:id="rId7" display="https://www.investing.com/pro/pricing?entry=balance-sheet" xr:uid="{AA8B3977-AFA6-4192-B64D-CE78B90B5DE0}"/>
    <hyperlink ref="E4" r:id="rId8" display="https://www.investing.com/pro/pricing?entry=balance-sheet" xr:uid="{8975B0A9-BEF9-4892-80BE-99F9A67C22AE}"/>
    <hyperlink ref="F4" r:id="rId9" display="https://www.investing.com/pro/pricing?entry=balance-sheet" xr:uid="{9A70A5A5-E4EE-4177-AB24-C07F4C52A454}"/>
    <hyperlink ref="G4" r:id="rId10" display="https://www.investing.com/pro/pricing?entry=balance-sheet" xr:uid="{B331C992-21BC-4FF3-8639-F41C611DF65A}"/>
    <hyperlink ref="C5" r:id="rId11" display="https://www.investing.com/pro/pricing?entry=balance-sheet" xr:uid="{294BB071-5D48-4DEF-9356-12BFB660FCE6}"/>
    <hyperlink ref="D5" r:id="rId12" display="https://www.investing.com/pro/pricing?entry=balance-sheet" xr:uid="{156D656C-4DD2-4B94-8EA2-91654B589D01}"/>
    <hyperlink ref="E5" r:id="rId13" display="https://www.investing.com/pro/pricing?entry=balance-sheet" xr:uid="{507C49C4-AB92-415B-B129-93A1E6F9AD07}"/>
    <hyperlink ref="F5" r:id="rId14" display="https://www.investing.com/pro/pricing?entry=balance-sheet" xr:uid="{F3EDF788-6293-4FA1-8847-252E4E808DB6}"/>
    <hyperlink ref="G5" r:id="rId15" display="https://www.investing.com/pro/pricing?entry=balance-sheet" xr:uid="{D0D6FC29-09B2-4F43-96C5-B0CC3A75B8E8}"/>
    <hyperlink ref="C6" r:id="rId16" display="https://www.investing.com/pro/pricing?entry=balance-sheet" xr:uid="{6F7CDBAB-C803-495A-B94B-231AB121DA50}"/>
    <hyperlink ref="D6" r:id="rId17" display="https://www.investing.com/pro/pricing?entry=balance-sheet" xr:uid="{5A215C57-995C-4F69-B389-9BC89567FC54}"/>
    <hyperlink ref="E6" r:id="rId18" display="https://www.investing.com/pro/pricing?entry=balance-sheet" xr:uid="{AE7C58A2-10D8-4144-8A4B-78869EBD75EA}"/>
    <hyperlink ref="F6" r:id="rId19" display="https://www.investing.com/pro/pricing?entry=balance-sheet" xr:uid="{45BCD842-0832-42DF-938C-1213B26CBA9F}"/>
    <hyperlink ref="G6" r:id="rId20" display="https://www.investing.com/pro/pricing?entry=balance-sheet" xr:uid="{B32FF392-1D5D-4121-85BC-792F5E6C69D0}"/>
    <hyperlink ref="C7" r:id="rId21" display="https://www.investing.com/pro/pricing?entry=balance-sheet" xr:uid="{64506417-CE39-4AF1-8F9C-30BAAAC815FA}"/>
    <hyperlink ref="D7" r:id="rId22" display="https://www.investing.com/pro/pricing?entry=balance-sheet" xr:uid="{6B8B8DDE-D4D0-4783-99F2-47C5DB802C88}"/>
    <hyperlink ref="E7" r:id="rId23" display="https://www.investing.com/pro/pricing?entry=balance-sheet" xr:uid="{F6ED094B-96B4-4AE5-AE25-48845370D3E9}"/>
    <hyperlink ref="F7" r:id="rId24" display="https://www.investing.com/pro/pricing?entry=balance-sheet" xr:uid="{E985E9AE-CA7E-4E12-BC69-80D7757FE7D3}"/>
    <hyperlink ref="G7" r:id="rId25" display="https://www.investing.com/pro/pricing?entry=balance-sheet" xr:uid="{587E9D02-242E-4666-A5E5-10358B1A47F6}"/>
    <hyperlink ref="C8" r:id="rId26" display="https://www.investing.com/pro/pricing?entry=balance-sheet" xr:uid="{CF31A08E-3D53-4948-B34E-463BC37D46BA}"/>
    <hyperlink ref="D8" r:id="rId27" display="https://www.investing.com/pro/pricing?entry=balance-sheet" xr:uid="{5AD99F05-6ECE-4C93-863B-9431D1CFB8B8}"/>
    <hyperlink ref="E8" r:id="rId28" display="https://www.investing.com/pro/pricing?entry=balance-sheet" xr:uid="{77DCFB4F-10D6-4C15-81B1-2F4AC47C51C6}"/>
    <hyperlink ref="F8" r:id="rId29" display="https://www.investing.com/pro/pricing?entry=balance-sheet" xr:uid="{4921029E-CAD8-4CE6-BDC5-8A9C492660B8}"/>
    <hyperlink ref="G8" r:id="rId30" display="https://www.investing.com/pro/pricing?entry=balance-sheet" xr:uid="{EAF70EB3-E2D8-48EC-91CF-96A33F9CF890}"/>
    <hyperlink ref="C9" r:id="rId31" display="https://www.investing.com/pro/pricing?entry=balance-sheet" xr:uid="{5AF46EA1-DF5C-4B56-B4BA-B09C1F001127}"/>
    <hyperlink ref="D9" r:id="rId32" display="https://www.investing.com/pro/pricing?entry=balance-sheet" xr:uid="{25752451-C29F-4C9E-8265-51B47018ADAA}"/>
    <hyperlink ref="E9" r:id="rId33" display="https://www.investing.com/pro/pricing?entry=balance-sheet" xr:uid="{6FCDF938-716B-4677-B677-B2876968291F}"/>
    <hyperlink ref="F9" r:id="rId34" display="https://www.investing.com/pro/pricing?entry=balance-sheet" xr:uid="{87318070-DDC5-4E68-BE3B-C2D745217E51}"/>
    <hyperlink ref="G9" r:id="rId35" display="https://www.investing.com/pro/pricing?entry=balance-sheet" xr:uid="{4B5BE579-9E71-486E-A657-213F8E55C8AD}"/>
    <hyperlink ref="C10" r:id="rId36" display="https://www.investing.com/pro/pricing?entry=balance-sheet" xr:uid="{DDE1BC6C-0268-46B8-AD9A-D16FE6E8E8F8}"/>
    <hyperlink ref="D10" r:id="rId37" display="https://www.investing.com/pro/pricing?entry=balance-sheet" xr:uid="{CEF83F16-A16E-4B0C-89B7-A41FFB982C68}"/>
    <hyperlink ref="E10" r:id="rId38" display="https://www.investing.com/pro/pricing?entry=balance-sheet" xr:uid="{E4C98693-DCA1-4984-A1FF-C5FA40FC137E}"/>
    <hyperlink ref="F10" r:id="rId39" display="https://www.investing.com/pro/pricing?entry=balance-sheet" xr:uid="{DFC03DB5-AE2F-4182-8C4D-FB27695D439F}"/>
    <hyperlink ref="G10" r:id="rId40" display="https://www.investing.com/pro/pricing?entry=balance-sheet" xr:uid="{8EC37E22-1222-4FD2-AF7D-C2C2FF0A4918}"/>
    <hyperlink ref="C11" r:id="rId41" display="https://www.investing.com/pro/pricing?entry=balance-sheet" xr:uid="{DEFCD772-3153-44AF-90AF-314D455D57A6}"/>
    <hyperlink ref="D11" r:id="rId42" display="https://www.investing.com/pro/pricing?entry=balance-sheet" xr:uid="{CC100750-C780-4F2D-975D-D7F823D2A0F9}"/>
    <hyperlink ref="E11" r:id="rId43" display="https://www.investing.com/pro/pricing?entry=balance-sheet" xr:uid="{7BDCF31A-2A28-4A11-B43C-9395F71CD16B}"/>
    <hyperlink ref="F11" r:id="rId44" display="https://www.investing.com/pro/pricing?entry=balance-sheet" xr:uid="{563FD174-406C-4DF5-874C-1D8318EBA4BB}"/>
    <hyperlink ref="G11" r:id="rId45" display="https://www.investing.com/pro/pricing?entry=balance-sheet" xr:uid="{764DEA64-DA18-4D57-855C-5992574701E9}"/>
    <hyperlink ref="C12" r:id="rId46" display="https://www.investing.com/pro/pricing?entry=balance-sheet" xr:uid="{29338CF5-A6E1-40B9-945C-8642D92A0791}"/>
    <hyperlink ref="D12" r:id="rId47" display="https://www.investing.com/pro/pricing?entry=balance-sheet" xr:uid="{762CDB57-4543-4E57-9163-EA324B603343}"/>
    <hyperlink ref="E12" r:id="rId48" display="https://www.investing.com/pro/pricing?entry=balance-sheet" xr:uid="{9EB17008-7376-4AFF-A3A2-C1AB6B5EFCA7}"/>
    <hyperlink ref="F12" r:id="rId49" display="https://www.investing.com/pro/pricing?entry=balance-sheet" xr:uid="{AA784F47-5607-42CB-A3FE-AA43ADC68A73}"/>
    <hyperlink ref="G12" r:id="rId50" display="https://www.investing.com/pro/pricing?entry=balance-sheet" xr:uid="{1A079E68-18E6-4967-99DB-B9A25A4CE129}"/>
    <hyperlink ref="C13" r:id="rId51" display="https://www.investing.com/pro/pricing?entry=balance-sheet" xr:uid="{05A5F288-DBF3-4B09-8DBE-D81418A51462}"/>
    <hyperlink ref="D13" r:id="rId52" display="https://www.investing.com/pro/pricing?entry=balance-sheet" xr:uid="{829A00C6-FD76-42BF-ACAF-11FB40CD5C36}"/>
    <hyperlink ref="E13" r:id="rId53" display="https://www.investing.com/pro/pricing?entry=balance-sheet" xr:uid="{BBDD86A4-7D68-465A-AB75-8D47FB5429B6}"/>
    <hyperlink ref="F13" r:id="rId54" display="https://www.investing.com/pro/pricing?entry=balance-sheet" xr:uid="{B4FA94D4-2A5F-420D-AB63-6F7207CFF5AB}"/>
    <hyperlink ref="G13" r:id="rId55" display="https://www.investing.com/pro/pricing?entry=balance-sheet" xr:uid="{B0AA0B69-EF3C-487F-8B64-DEFAFC7F1EA1}"/>
    <hyperlink ref="C14" r:id="rId56" display="https://www.investing.com/pro/pricing?entry=balance-sheet" xr:uid="{1469B7C4-F629-4E52-8482-FAE2E6F04B6C}"/>
    <hyperlink ref="D14" r:id="rId57" display="https://www.investing.com/pro/pricing?entry=balance-sheet" xr:uid="{FE78201E-FF8B-49A3-88C2-933C69706CCA}"/>
    <hyperlink ref="E14" r:id="rId58" display="https://www.investing.com/pro/pricing?entry=balance-sheet" xr:uid="{6E312BBA-FB45-48AA-9F92-4EF742A73357}"/>
    <hyperlink ref="F14" r:id="rId59" display="https://www.investing.com/pro/pricing?entry=balance-sheet" xr:uid="{CBD7643B-AED0-4A87-9523-674179E8BF5B}"/>
    <hyperlink ref="G14" r:id="rId60" display="https://www.investing.com/pro/pricing?entry=balance-sheet" xr:uid="{94C409AA-075E-4A1F-9CB6-41B116460C79}"/>
    <hyperlink ref="C15" r:id="rId61" display="https://www.investing.com/pro/pricing?entry=balance-sheet" xr:uid="{6A73AB0F-2B48-4396-B23E-6B1741F5CE87}"/>
    <hyperlink ref="D15" r:id="rId62" display="https://www.investing.com/pro/pricing?entry=balance-sheet" xr:uid="{408FECC7-78D8-4994-A903-2174D3754976}"/>
    <hyperlink ref="E15" r:id="rId63" display="https://www.investing.com/pro/pricing?entry=balance-sheet" xr:uid="{001B56DA-8C0A-4798-A896-F6690EAC2ADC}"/>
    <hyperlink ref="F15" r:id="rId64" display="https://www.investing.com/pro/pricing?entry=balance-sheet" xr:uid="{600D010D-EF4B-4236-B587-F6E2C91905AA}"/>
    <hyperlink ref="G15" r:id="rId65" display="https://www.investing.com/pro/pricing?entry=balance-sheet" xr:uid="{FF545D2E-1772-44C0-A3D6-D0BA38433DA1}"/>
    <hyperlink ref="C16" r:id="rId66" display="https://www.investing.com/pro/pricing?entry=balance-sheet" xr:uid="{59476F70-DEC9-49B2-8F1D-4E089D4B4359}"/>
    <hyperlink ref="D16" r:id="rId67" display="https://www.investing.com/pro/pricing?entry=balance-sheet" xr:uid="{38E87A61-8BA3-4046-BF5C-5A1E80F53520}"/>
    <hyperlink ref="E16" r:id="rId68" display="https://www.investing.com/pro/pricing?entry=balance-sheet" xr:uid="{A43BD4C9-5F9F-4D3A-BBB9-95C38A0966D1}"/>
    <hyperlink ref="F16" r:id="rId69" display="https://www.investing.com/pro/pricing?entry=balance-sheet" xr:uid="{9A7E3646-D0A4-4960-99BD-095811997CAD}"/>
    <hyperlink ref="G16" r:id="rId70" display="https://www.investing.com/pro/pricing?entry=balance-sheet" xr:uid="{1FA88A9E-3FA1-48FD-B142-E5E23483D71C}"/>
    <hyperlink ref="C17" r:id="rId71" display="https://www.investing.com/pro/pricing?entry=balance-sheet" xr:uid="{CE63296F-DABC-4109-B8DE-130455AED2C2}"/>
    <hyperlink ref="D17" r:id="rId72" display="https://www.investing.com/pro/pricing?entry=balance-sheet" xr:uid="{715424F1-6E93-4CA1-9952-39B9EACF154A}"/>
    <hyperlink ref="E17" r:id="rId73" display="https://www.investing.com/pro/pricing?entry=balance-sheet" xr:uid="{6D2EC0D4-5DAC-44C5-9D5F-8E88FA02D84F}"/>
    <hyperlink ref="F17" r:id="rId74" display="https://www.investing.com/pro/pricing?entry=balance-sheet" xr:uid="{DFA9C589-EBEC-4F6E-A2F1-B74FC74A23D9}"/>
    <hyperlink ref="G17" r:id="rId75" display="https://www.investing.com/pro/pricing?entry=balance-sheet" xr:uid="{D0411E8A-BC8D-435A-9EC9-455D0F266219}"/>
    <hyperlink ref="C18" r:id="rId76" display="https://www.investing.com/pro/pricing?entry=balance-sheet" xr:uid="{7FD7410F-1D34-486D-8DE5-CCE3B1B48DF3}"/>
    <hyperlink ref="D18" r:id="rId77" display="https://www.investing.com/pro/pricing?entry=balance-sheet" xr:uid="{1B53995C-63E1-4C6A-B253-2B0F54EF3AAB}"/>
    <hyperlink ref="E18" r:id="rId78" display="https://www.investing.com/pro/pricing?entry=balance-sheet" xr:uid="{37B5EA08-B043-455E-AFF5-28C301337CBF}"/>
    <hyperlink ref="F18" r:id="rId79" display="https://www.investing.com/pro/pricing?entry=balance-sheet" xr:uid="{9E2BD1E4-F503-4862-9622-1AD09FFADA2B}"/>
    <hyperlink ref="G18" r:id="rId80" display="https://www.investing.com/pro/pricing?entry=balance-sheet" xr:uid="{151B365C-404D-4A6B-98FD-D016DCB30412}"/>
    <hyperlink ref="C19" r:id="rId81" display="https://www.investing.com/pro/pricing?entry=balance-sheet" xr:uid="{ABC5391F-2C1D-4C69-B6D8-79BB344E8462}"/>
    <hyperlink ref="D19" r:id="rId82" display="https://www.investing.com/pro/pricing?entry=balance-sheet" xr:uid="{8368BF6A-8FAD-45BE-9B03-B1070283F4A9}"/>
    <hyperlink ref="E19" r:id="rId83" display="https://www.investing.com/pro/pricing?entry=balance-sheet" xr:uid="{5E450CA4-92DE-4485-97CB-5FD2E263C06F}"/>
    <hyperlink ref="F19" r:id="rId84" display="https://www.investing.com/pro/pricing?entry=balance-sheet" xr:uid="{867A4D34-0DDB-47F9-B9E5-F838D74CD309}"/>
    <hyperlink ref="G19" r:id="rId85" display="https://www.investing.com/pro/pricing?entry=balance-sheet" xr:uid="{14D0019C-DAAE-4063-96C2-8144E38A4573}"/>
    <hyperlink ref="C20" r:id="rId86" display="https://www.investing.com/pro/pricing?entry=balance-sheet" xr:uid="{FBCF1C0F-7868-4003-8927-F84CF5E0FB74}"/>
    <hyperlink ref="D20" r:id="rId87" display="https://www.investing.com/pro/pricing?entry=balance-sheet" xr:uid="{B13CEA38-0B80-4329-85D4-C0270CEDD8DA}"/>
    <hyperlink ref="E20" r:id="rId88" display="https://www.investing.com/pro/pricing?entry=balance-sheet" xr:uid="{E1A2ADB7-CB27-434D-9340-396B115AD67B}"/>
    <hyperlink ref="F20" r:id="rId89" display="https://www.investing.com/pro/pricing?entry=balance-sheet" xr:uid="{6D911FE1-EEA0-4ECB-9706-5719290A0DE1}"/>
    <hyperlink ref="G20" r:id="rId90" display="https://www.investing.com/pro/pricing?entry=balance-sheet" xr:uid="{DB429CF3-E8A3-46D4-B938-6CBD217EC1AB}"/>
    <hyperlink ref="C21" r:id="rId91" display="https://www.investing.com/pro/pricing?entry=balance-sheet" xr:uid="{2B5DDEF3-F767-44B4-8514-17AC67A4C3DA}"/>
    <hyperlink ref="D21" r:id="rId92" display="https://www.investing.com/pro/pricing?entry=balance-sheet" xr:uid="{F382C213-0763-440F-B54E-6BAC57D5C2D4}"/>
    <hyperlink ref="E21" r:id="rId93" display="https://www.investing.com/pro/pricing?entry=balance-sheet" xr:uid="{4CF90AE0-C352-4267-A8E9-442FCB2EBAD8}"/>
    <hyperlink ref="F21" r:id="rId94" display="https://www.investing.com/pro/pricing?entry=balance-sheet" xr:uid="{1DEDACA4-22B7-4788-8958-8F490E54D497}"/>
    <hyperlink ref="G21" r:id="rId95" display="https://www.investing.com/pro/pricing?entry=balance-sheet" xr:uid="{A2EBD685-313F-47BA-A13D-9B517034B852}"/>
    <hyperlink ref="C22" r:id="rId96" display="https://www.investing.com/pro/pricing?entry=balance-sheet" xr:uid="{42F82B3A-1B2E-47DE-8C73-C73D5DF9D58A}"/>
    <hyperlink ref="D22" r:id="rId97" display="https://www.investing.com/pro/pricing?entry=balance-sheet" xr:uid="{62BAAA09-7934-4957-8B45-1D4332A67FE9}"/>
    <hyperlink ref="E22" r:id="rId98" display="https://www.investing.com/pro/pricing?entry=balance-sheet" xr:uid="{428E14A3-ABBE-49A2-ADDE-301640F4E012}"/>
    <hyperlink ref="F22" r:id="rId99" display="https://www.investing.com/pro/pricing?entry=balance-sheet" xr:uid="{1ACDAD0D-4D94-4A16-9DD7-CDBD4226E832}"/>
    <hyperlink ref="G22" r:id="rId100" display="https://www.investing.com/pro/pricing?entry=balance-sheet" xr:uid="{A7E5471D-2AB5-4D9E-B634-A3D14FAC5133}"/>
    <hyperlink ref="C23" r:id="rId101" display="https://www.investing.com/pro/pricing?entry=balance-sheet" xr:uid="{9783C918-9CA2-4CE1-A942-BEB2B349441E}"/>
    <hyperlink ref="D23" r:id="rId102" display="https://www.investing.com/pro/pricing?entry=balance-sheet" xr:uid="{C3D864AD-721B-45A1-A24A-B80F28B3446E}"/>
    <hyperlink ref="E23" r:id="rId103" display="https://www.investing.com/pro/pricing?entry=balance-sheet" xr:uid="{14184DAF-D88A-4C5A-B55B-928742EB2F61}"/>
    <hyperlink ref="F23" r:id="rId104" display="https://www.investing.com/pro/pricing?entry=balance-sheet" xr:uid="{B6958EFC-9AC3-44FC-B7A3-B0B6C3FE90AC}"/>
    <hyperlink ref="G23" r:id="rId105" display="https://www.investing.com/pro/pricing?entry=balance-sheet" xr:uid="{F7945924-8157-4442-A2DE-A395062C8BFC}"/>
    <hyperlink ref="C24" r:id="rId106" display="https://www.investing.com/pro/pricing?entry=balance-sheet" xr:uid="{935DEEAF-6DF7-4EE7-9DDE-6160D9E839AE}"/>
    <hyperlink ref="D24" r:id="rId107" display="https://www.investing.com/pro/pricing?entry=balance-sheet" xr:uid="{AA91CF62-CCA0-402A-AB9F-59BF75933BE4}"/>
    <hyperlink ref="E24" r:id="rId108" display="https://www.investing.com/pro/pricing?entry=balance-sheet" xr:uid="{E3B6F7C3-750D-48D6-A2C5-E8134B15A6D2}"/>
    <hyperlink ref="F24" r:id="rId109" display="https://www.investing.com/pro/pricing?entry=balance-sheet" xr:uid="{4BFD22B6-19B4-4D5F-98E9-70C403B016C7}"/>
    <hyperlink ref="G24" r:id="rId110" display="https://www.investing.com/pro/pricing?entry=balance-sheet" xr:uid="{A9350A7E-B8C0-4368-B2A4-B33B9C69378C}"/>
    <hyperlink ref="C25" r:id="rId111" display="https://www.investing.com/pro/pricing?entry=balance-sheet" xr:uid="{D6AA0B0B-5400-43CB-9903-7A2A77BBB71B}"/>
    <hyperlink ref="D25" r:id="rId112" display="https://www.investing.com/pro/pricing?entry=balance-sheet" xr:uid="{BF5C4246-860E-4F4E-91CE-A20FE18CA54C}"/>
    <hyperlink ref="E25" r:id="rId113" display="https://www.investing.com/pro/pricing?entry=balance-sheet" xr:uid="{B799B3CB-DFF0-467C-981E-A37D4066AFB8}"/>
    <hyperlink ref="F25" r:id="rId114" display="https://www.investing.com/pro/pricing?entry=balance-sheet" xr:uid="{FFD11E9F-6C76-49E0-B098-A71C110D0683}"/>
    <hyperlink ref="G25" r:id="rId115" display="https://www.investing.com/pro/pricing?entry=balance-sheet" xr:uid="{EDE26C4F-7CBA-4A54-AE19-2000F1B98408}"/>
    <hyperlink ref="C26" r:id="rId116" display="https://www.investing.com/pro/pricing?entry=balance-sheet" xr:uid="{03047385-4587-47E4-8114-2FDAFE2368F4}"/>
    <hyperlink ref="D26" r:id="rId117" display="https://www.investing.com/pro/pricing?entry=balance-sheet" xr:uid="{E627EFBE-B2A0-451F-BFEF-45BC872DB2B9}"/>
    <hyperlink ref="E26" r:id="rId118" display="https://www.investing.com/pro/pricing?entry=balance-sheet" xr:uid="{DEA317C9-3BEB-4CBB-A5E3-146287229FC9}"/>
    <hyperlink ref="F26" r:id="rId119" display="https://www.investing.com/pro/pricing?entry=balance-sheet" xr:uid="{386A3C1D-553B-47A3-BD45-B58785C27389}"/>
    <hyperlink ref="G26" r:id="rId120" display="https://www.investing.com/pro/pricing?entry=balance-sheet" xr:uid="{2A65686F-18E5-45C4-9AA9-703D7D246FA0}"/>
    <hyperlink ref="C27" r:id="rId121" display="https://www.investing.com/pro/pricing?entry=balance-sheet" xr:uid="{CABE5AB2-3308-4063-81FC-EB30902F9B07}"/>
    <hyperlink ref="D27" r:id="rId122" display="https://www.investing.com/pro/pricing?entry=balance-sheet" xr:uid="{8321FEAA-F999-4EE8-A2B9-252D7AE27F2B}"/>
    <hyperlink ref="E27" r:id="rId123" display="https://www.investing.com/pro/pricing?entry=balance-sheet" xr:uid="{42F6D8DB-B2E0-486F-B0FE-5C16DCF11893}"/>
    <hyperlink ref="F27" r:id="rId124" display="https://www.investing.com/pro/pricing?entry=balance-sheet" xr:uid="{306ABA42-6BA8-4F22-BC2D-CC333FE66EC5}"/>
    <hyperlink ref="G27" r:id="rId125" display="https://www.investing.com/pro/pricing?entry=balance-sheet" xr:uid="{BE743275-BEFA-497C-8AC2-754CE8DE56EE}"/>
    <hyperlink ref="C28" r:id="rId126" display="https://www.investing.com/pro/pricing?entry=balance-sheet" xr:uid="{84B83B0B-E75E-4325-AC37-742F6EEA7DAE}"/>
    <hyperlink ref="D28" r:id="rId127" display="https://www.investing.com/pro/pricing?entry=balance-sheet" xr:uid="{589A2037-111F-472F-9471-194B1B948B03}"/>
    <hyperlink ref="E28" r:id="rId128" display="https://www.investing.com/pro/pricing?entry=balance-sheet" xr:uid="{FD250B10-1FBA-471F-9912-DFFAFC9F94C9}"/>
    <hyperlink ref="F28" r:id="rId129" display="https://www.investing.com/pro/pricing?entry=balance-sheet" xr:uid="{D661F0E3-8F36-4F5E-B758-317611486412}"/>
    <hyperlink ref="G28" r:id="rId130" display="https://www.investing.com/pro/pricing?entry=balance-sheet" xr:uid="{166CAE44-B44E-4C02-85E6-9BECA7570BFD}"/>
    <hyperlink ref="C29" r:id="rId131" display="https://www.investing.com/pro/pricing?entry=balance-sheet" xr:uid="{174D3637-5B6F-41C2-BDE6-EDD10FB90FD7}"/>
    <hyperlink ref="D29" r:id="rId132" display="https://www.investing.com/pro/pricing?entry=balance-sheet" xr:uid="{972870B1-9EF6-4656-8E02-193E034D84C0}"/>
    <hyperlink ref="E29" r:id="rId133" display="https://www.investing.com/pro/pricing?entry=balance-sheet" xr:uid="{4A9B43FC-2B89-40FF-B3CB-11514DA7E14B}"/>
    <hyperlink ref="F29" r:id="rId134" display="https://www.investing.com/pro/pricing?entry=balance-sheet" xr:uid="{B6A4A7BB-D9AC-4715-ACC5-AA0506D01FF8}"/>
    <hyperlink ref="G29" r:id="rId135" display="https://www.investing.com/pro/pricing?entry=balance-sheet" xr:uid="{EB4C7F8D-B4D1-44E3-898E-92ECEB3A8DE4}"/>
    <hyperlink ref="C30" r:id="rId136" display="https://www.investing.com/pro/pricing?entry=balance-sheet" xr:uid="{C8A8CE10-0E1D-440B-87DB-3A9061AE3242}"/>
    <hyperlink ref="D30" r:id="rId137" display="https://www.investing.com/pro/pricing?entry=balance-sheet" xr:uid="{66CD266E-933E-47B4-83A8-D98830BCB041}"/>
    <hyperlink ref="E30" r:id="rId138" display="https://www.investing.com/pro/pricing?entry=balance-sheet" xr:uid="{75A89A78-4BAA-4F75-852B-A38E468D0F4E}"/>
    <hyperlink ref="F30" r:id="rId139" display="https://www.investing.com/pro/pricing?entry=balance-sheet" xr:uid="{4644DBA6-4E8C-4294-9085-2AD8A7706D43}"/>
    <hyperlink ref="G30" r:id="rId140" display="https://www.investing.com/pro/pricing?entry=balance-sheet" xr:uid="{AD3810EB-93BB-47B5-BA7D-FA73FA91CF99}"/>
    <hyperlink ref="C31" r:id="rId141" display="https://www.investing.com/pro/pricing?entry=balance-sheet" xr:uid="{F306D6FE-09C5-4B1E-916C-56A8A4151723}"/>
    <hyperlink ref="D31" r:id="rId142" display="https://www.investing.com/pro/pricing?entry=balance-sheet" xr:uid="{52613AB1-8C3E-411F-AE25-4C0F1CE336FD}"/>
    <hyperlink ref="E31" r:id="rId143" display="https://www.investing.com/pro/pricing?entry=balance-sheet" xr:uid="{BCC51B8E-DE36-461E-AC3D-CBD5402F3799}"/>
    <hyperlink ref="F31" r:id="rId144" display="https://www.investing.com/pro/pricing?entry=balance-sheet" xr:uid="{B3CB884A-A704-4EB5-864B-746C92B7790B}"/>
    <hyperlink ref="G31" r:id="rId145" display="https://www.investing.com/pro/pricing?entry=balance-sheet" xr:uid="{335A5D1A-D881-4E16-BBF4-7F1CA45A8EA1}"/>
    <hyperlink ref="C32" r:id="rId146" display="https://www.investing.com/pro/pricing?entry=balance-sheet" xr:uid="{CFF3AD66-AD7E-4EB1-AF5E-CF98677A9786}"/>
    <hyperlink ref="D32" r:id="rId147" display="https://www.investing.com/pro/pricing?entry=balance-sheet" xr:uid="{F5E49B0F-55A3-4672-B06F-48248A520ED0}"/>
    <hyperlink ref="E32" r:id="rId148" display="https://www.investing.com/pro/pricing?entry=balance-sheet" xr:uid="{23312F47-BBE7-451F-A125-017185147FC4}"/>
    <hyperlink ref="F32" r:id="rId149" display="https://www.investing.com/pro/pricing?entry=balance-sheet" xr:uid="{0B8E33BF-59B9-43C9-B9DF-241F06EC27DD}"/>
    <hyperlink ref="G32" r:id="rId150" display="https://www.investing.com/pro/pricing?entry=balance-sheet" xr:uid="{71F92A80-9622-40C0-997A-8D58FD076493}"/>
    <hyperlink ref="C33" r:id="rId151" display="https://www.investing.com/pro/pricing?entry=balance-sheet" xr:uid="{2AEE6428-3C7E-4B42-8526-78E2E0FF90FC}"/>
    <hyperlink ref="D33" r:id="rId152" display="https://www.investing.com/pro/pricing?entry=balance-sheet" xr:uid="{EFE32C84-2D6A-4164-977A-7E04D5B6E6D7}"/>
    <hyperlink ref="E33" r:id="rId153" display="https://www.investing.com/pro/pricing?entry=balance-sheet" xr:uid="{1D2E7EDF-FDC0-4A2D-86FD-88A573918DC7}"/>
    <hyperlink ref="F33" r:id="rId154" display="https://www.investing.com/pro/pricing?entry=balance-sheet" xr:uid="{95441C78-DAC7-4332-99A0-1E7E7557749E}"/>
    <hyperlink ref="G33" r:id="rId155" display="https://www.investing.com/pro/pricing?entry=balance-sheet" xr:uid="{B7DE6A90-9385-4871-927A-F182798D4934}"/>
    <hyperlink ref="C34" r:id="rId156" display="https://www.investing.com/pro/pricing?entry=balance-sheet" xr:uid="{B5739EC3-E460-4DCD-8429-9833A3884F3F}"/>
    <hyperlink ref="D34" r:id="rId157" display="https://www.investing.com/pro/pricing?entry=balance-sheet" xr:uid="{BF61421B-006C-4FC8-AE87-8D2CA0B8A197}"/>
    <hyperlink ref="E34" r:id="rId158" display="https://www.investing.com/pro/pricing?entry=balance-sheet" xr:uid="{EB8B221B-E0C7-4A66-96CA-4EDE663BE470}"/>
    <hyperlink ref="F34" r:id="rId159" display="https://www.investing.com/pro/pricing?entry=balance-sheet" xr:uid="{D97C48B3-428E-4489-A63D-4F331AD43D3C}"/>
    <hyperlink ref="G34" r:id="rId160" display="https://www.investing.com/pro/pricing?entry=balance-sheet" xr:uid="{F5441048-24C9-4CAB-A730-DEA1213F087F}"/>
    <hyperlink ref="C35" r:id="rId161" display="https://www.investing.com/pro/pricing?entry=balance-sheet" xr:uid="{4DB8FEE0-3154-4E80-9C35-7048399BA7E3}"/>
    <hyperlink ref="D35" r:id="rId162" display="https://www.investing.com/pro/pricing?entry=balance-sheet" xr:uid="{1A641F8B-17E6-4AD7-B5E9-893EA88FCEE3}"/>
    <hyperlink ref="E35" r:id="rId163" display="https://www.investing.com/pro/pricing?entry=balance-sheet" xr:uid="{3F7E94FA-94EE-4742-818F-60A4BAAB08DA}"/>
    <hyperlink ref="F35" r:id="rId164" display="https://www.investing.com/pro/pricing?entry=balance-sheet" xr:uid="{591B067A-1ADC-459F-8B02-EE588D3DC7B9}"/>
    <hyperlink ref="G35" r:id="rId165" display="https://www.investing.com/pro/pricing?entry=balance-sheet" xr:uid="{D8BD6D91-A958-4322-A419-455B52777D25}"/>
    <hyperlink ref="C36" r:id="rId166" display="https://www.investing.com/pro/pricing?entry=balance-sheet" xr:uid="{C33A86A5-C9B3-4B54-B5BE-DADAC7E60C08}"/>
    <hyperlink ref="D36" r:id="rId167" display="https://www.investing.com/pro/pricing?entry=balance-sheet" xr:uid="{B3D17419-FE87-420C-91EC-C16ECEE00BF8}"/>
    <hyperlink ref="E36" r:id="rId168" display="https://www.investing.com/pro/pricing?entry=balance-sheet" xr:uid="{D7CD0EAD-F0E1-44E3-A400-B67B4A783673}"/>
    <hyperlink ref="F36" r:id="rId169" display="https://www.investing.com/pro/pricing?entry=balance-sheet" xr:uid="{433C39B7-9452-46C9-B585-17F2E333CC03}"/>
    <hyperlink ref="G36" r:id="rId170" display="https://www.investing.com/pro/pricing?entry=balance-sheet" xr:uid="{7EC1FCD5-1B0C-4B1B-896B-FFC5A54C1D38}"/>
    <hyperlink ref="C37" r:id="rId171" display="https://www.investing.com/pro/pricing?entry=balance-sheet" xr:uid="{C222DAB6-DA33-4F45-A1F5-6CDBEAB42ABF}"/>
    <hyperlink ref="D37" r:id="rId172" display="https://www.investing.com/pro/pricing?entry=balance-sheet" xr:uid="{3334E889-E9F7-418E-87A1-EF70A7039ED0}"/>
    <hyperlink ref="E37" r:id="rId173" display="https://www.investing.com/pro/pricing?entry=balance-sheet" xr:uid="{E51B8172-8B44-42EC-9087-9CCFFD9ED17F}"/>
    <hyperlink ref="F37" r:id="rId174" display="https://www.investing.com/pro/pricing?entry=balance-sheet" xr:uid="{FE58055C-07BB-4AD4-B4C0-460614AF5EE3}"/>
    <hyperlink ref="G37" r:id="rId175" display="https://www.investing.com/pro/pricing?entry=balance-sheet" xr:uid="{C2DEA4C2-085A-4A73-AAF6-382F04FD8CCA}"/>
    <hyperlink ref="C38" r:id="rId176" display="https://www.investing.com/pro/pricing?entry=balance-sheet" xr:uid="{5DDE9D24-D597-43C8-8475-5545C5DDCC8E}"/>
    <hyperlink ref="D38" r:id="rId177" display="https://www.investing.com/pro/pricing?entry=balance-sheet" xr:uid="{8CF86F35-1302-4727-98D1-AA28C5383DC1}"/>
    <hyperlink ref="E38" r:id="rId178" display="https://www.investing.com/pro/pricing?entry=balance-sheet" xr:uid="{7F571821-23D8-4F0C-8663-0B3D9FC8C1D6}"/>
    <hyperlink ref="F38" r:id="rId179" display="https://www.investing.com/pro/pricing?entry=balance-sheet" xr:uid="{F26D525B-B517-4CE7-A1AD-ADA4CE352197}"/>
    <hyperlink ref="G38" r:id="rId180" display="https://www.investing.com/pro/pricing?entry=balance-sheet" xr:uid="{94D80E17-ED5F-4569-9883-CFE9B362A142}"/>
    <hyperlink ref="C39" r:id="rId181" display="https://www.investing.com/pro/pricing?entry=balance-sheet" xr:uid="{A93E5F4A-4829-4100-8919-E45EDD6F0F12}"/>
    <hyperlink ref="D39" r:id="rId182" display="https://www.investing.com/pro/pricing?entry=balance-sheet" xr:uid="{44C7C008-1318-4A96-AA69-987EA30F8F67}"/>
    <hyperlink ref="E39" r:id="rId183" display="https://www.investing.com/pro/pricing?entry=balance-sheet" xr:uid="{33605AC0-150A-4A80-A4D9-C006F1CE714A}"/>
    <hyperlink ref="F39" r:id="rId184" display="https://www.investing.com/pro/pricing?entry=balance-sheet" xr:uid="{476273FA-DB2D-4F4F-88EA-276C84C28987}"/>
    <hyperlink ref="G39" r:id="rId185" display="https://www.investing.com/pro/pricing?entry=balance-sheet" xr:uid="{FA744DD5-7FD2-4AC2-B73A-AC6893A5C0B3}"/>
    <hyperlink ref="C40" r:id="rId186" display="https://www.investing.com/pro/pricing?entry=balance-sheet" xr:uid="{C2511CD1-7B0B-490F-BF98-8CBBA6FDDBA1}"/>
    <hyperlink ref="D40" r:id="rId187" display="https://www.investing.com/pro/pricing?entry=balance-sheet" xr:uid="{4392A9F3-2CF8-4A8E-9768-BFBC822C19FD}"/>
    <hyperlink ref="E40" r:id="rId188" display="https://www.investing.com/pro/pricing?entry=balance-sheet" xr:uid="{C2308D9D-66FE-4742-A826-8234FE5FBCF2}"/>
    <hyperlink ref="F40" r:id="rId189" display="https://www.investing.com/pro/pricing?entry=balance-sheet" xr:uid="{487C4569-ADF4-4968-AD1A-B3F6CD07904B}"/>
    <hyperlink ref="G40" r:id="rId190" display="https://www.investing.com/pro/pricing?entry=balance-sheet" xr:uid="{91FBC27E-23A2-42DB-A261-B435490AF27C}"/>
    <hyperlink ref="C41" r:id="rId191" display="https://www.investing.com/pro/pricing?entry=balance-sheet" xr:uid="{563D61FA-0690-45E7-B230-0AC89834200C}"/>
    <hyperlink ref="D41" r:id="rId192" display="https://www.investing.com/pro/pricing?entry=balance-sheet" xr:uid="{BC358CB0-417A-4FC5-83F6-EF5806EDC560}"/>
    <hyperlink ref="E41" r:id="rId193" display="https://www.investing.com/pro/pricing?entry=balance-sheet" xr:uid="{BD1ADE48-1179-4E27-B41D-72378B983719}"/>
    <hyperlink ref="F41" r:id="rId194" display="https://www.investing.com/pro/pricing?entry=balance-sheet" xr:uid="{9C578587-117D-4E00-97C6-155FD6F9FF6D}"/>
    <hyperlink ref="G41" r:id="rId195" display="https://www.investing.com/pro/pricing?entry=balance-sheet" xr:uid="{F9A30B15-1B64-46F8-BD4E-D1A4A30BADF8}"/>
    <hyperlink ref="C42" r:id="rId196" display="https://www.investing.com/pro/pricing?entry=balance-sheet" xr:uid="{AB60D1B8-F3EC-4944-9274-A707C02EB38A}"/>
    <hyperlink ref="D42" r:id="rId197" display="https://www.investing.com/pro/pricing?entry=balance-sheet" xr:uid="{572391C8-0C56-46E7-B443-9253B9FA08D8}"/>
    <hyperlink ref="E42" r:id="rId198" display="https://www.investing.com/pro/pricing?entry=balance-sheet" xr:uid="{69F21781-CA78-4750-A389-D66F2213F913}"/>
    <hyperlink ref="F42" r:id="rId199" display="https://www.investing.com/pro/pricing?entry=balance-sheet" xr:uid="{76556FCD-CA9E-4157-A83E-7DBE4326D4A5}"/>
    <hyperlink ref="G42" r:id="rId200" display="https://www.investing.com/pro/pricing?entry=balance-sheet" xr:uid="{6C49E50E-6589-4133-83C1-6C1D5798C830}"/>
    <hyperlink ref="C43" r:id="rId201" display="https://www.investing.com/pro/pricing?entry=balance-sheet" xr:uid="{335FC5FE-6D66-4F7C-AF79-ED0054BDFE1A}"/>
    <hyperlink ref="D43" r:id="rId202" display="https://www.investing.com/pro/pricing?entry=balance-sheet" xr:uid="{93B37726-8B29-4439-8FB6-F51D7CDE7E25}"/>
    <hyperlink ref="E43" r:id="rId203" display="https://www.investing.com/pro/pricing?entry=balance-sheet" xr:uid="{1AC7EB98-F121-4768-8DE8-40300BF8B6DE}"/>
    <hyperlink ref="F43" r:id="rId204" display="https://www.investing.com/pro/pricing?entry=balance-sheet" xr:uid="{0A8746D5-6A88-47EB-B846-E5C435E8F0B4}"/>
    <hyperlink ref="G43" r:id="rId205" display="https://www.investing.com/pro/pricing?entry=balance-sheet" xr:uid="{869A7C7B-7BDD-41D1-8149-2D8035C8FE25}"/>
    <hyperlink ref="C44" r:id="rId206" display="https://www.investing.com/pro/pricing?entry=balance-sheet" xr:uid="{75223768-5370-4D0D-A512-4EB101E96B74}"/>
    <hyperlink ref="D44" r:id="rId207" display="https://www.investing.com/pro/pricing?entry=balance-sheet" xr:uid="{74F04263-6EFD-4339-828C-C73C391CE828}"/>
    <hyperlink ref="E44" r:id="rId208" display="https://www.investing.com/pro/pricing?entry=balance-sheet" xr:uid="{272E01B2-5B4C-46CE-9066-CA83B9D86054}"/>
    <hyperlink ref="F44" r:id="rId209" display="https://www.investing.com/pro/pricing?entry=balance-sheet" xr:uid="{24F5AB0D-20E7-41DF-8939-1D9DFA139C30}"/>
    <hyperlink ref="G44" r:id="rId210" display="https://www.investing.com/pro/pricing?entry=balance-sheet" xr:uid="{833A41EF-B914-4F73-841C-06B5A32EC145}"/>
    <hyperlink ref="C45" r:id="rId211" display="https://www.investing.com/pro/pricing?entry=balance-sheet" xr:uid="{078BF69E-EF32-47DC-B55D-C16B568723DF}"/>
    <hyperlink ref="D45" r:id="rId212" display="https://www.investing.com/pro/pricing?entry=balance-sheet" xr:uid="{53A20CDC-17B3-4430-8314-4BAE312A1FBE}"/>
    <hyperlink ref="E45" r:id="rId213" display="https://www.investing.com/pro/pricing?entry=balance-sheet" xr:uid="{9FBBC6B3-9BF7-4BF0-91DF-FE570CA14742}"/>
    <hyperlink ref="F45" r:id="rId214" display="https://www.investing.com/pro/pricing?entry=balance-sheet" xr:uid="{80A6A385-C10F-45C1-BCBF-A6B31A7EB2FF}"/>
    <hyperlink ref="G45" r:id="rId215" display="https://www.investing.com/pro/pricing?entry=balance-sheet" xr:uid="{0A6CB0AD-8590-4BF4-95CE-57267BF95FB2}"/>
    <hyperlink ref="C46" r:id="rId216" display="https://www.investing.com/pro/pricing?entry=balance-sheet" xr:uid="{5E871AA4-FD07-4BFB-A89F-365DED7B74EC}"/>
    <hyperlink ref="D46" r:id="rId217" display="https://www.investing.com/pro/pricing?entry=balance-sheet" xr:uid="{FCB07FFD-A033-4831-B07F-E0C1BBE70127}"/>
    <hyperlink ref="E46" r:id="rId218" display="https://www.investing.com/pro/pricing?entry=balance-sheet" xr:uid="{98452D4E-4666-4B3F-8F42-60243DF789A7}"/>
    <hyperlink ref="F46" r:id="rId219" display="https://www.investing.com/pro/pricing?entry=balance-sheet" xr:uid="{EA3B9C1A-2222-4C6C-8DAB-21D57D23F68F}"/>
    <hyperlink ref="G46" r:id="rId220" display="https://www.investing.com/pro/pricing?entry=balance-sheet" xr:uid="{D695B76F-8BC9-4540-8961-11375E878747}"/>
    <hyperlink ref="C47" r:id="rId221" display="https://www.investing.com/pro/pricing?entry=balance-sheet" xr:uid="{11075766-971A-40AC-8FEF-A1BF30DB608D}"/>
    <hyperlink ref="D47" r:id="rId222" display="https://www.investing.com/pro/pricing?entry=balance-sheet" xr:uid="{B5330EDE-43D4-49BF-8663-BF32EC7FB5CD}"/>
    <hyperlink ref="E47" r:id="rId223" display="https://www.investing.com/pro/pricing?entry=balance-sheet" xr:uid="{0225FC38-FDE7-441D-B9F0-DC2CEE555DE5}"/>
    <hyperlink ref="F47" r:id="rId224" display="https://www.investing.com/pro/pricing?entry=balance-sheet" xr:uid="{23B3622A-9FCF-4623-82F8-6C139237E182}"/>
    <hyperlink ref="G47" r:id="rId225" display="https://www.investing.com/pro/pricing?entry=balance-sheet" xr:uid="{B0D79B47-67AB-4530-A064-DEE471280F56}"/>
    <hyperlink ref="C48" r:id="rId226" display="https://www.investing.com/pro/pricing?entry=balance-sheet" xr:uid="{4904BD6C-AD2C-45DE-9064-2E05C3C51B66}"/>
    <hyperlink ref="D48" r:id="rId227" display="https://www.investing.com/pro/pricing?entry=balance-sheet" xr:uid="{F9D207A6-6B18-4CF9-A138-A58BD7502A87}"/>
    <hyperlink ref="E48" r:id="rId228" display="https://www.investing.com/pro/pricing?entry=balance-sheet" xr:uid="{FF26F3FC-BC78-44AA-9F5D-80F0FF6A8D62}"/>
    <hyperlink ref="F48" r:id="rId229" display="https://www.investing.com/pro/pricing?entry=balance-sheet" xr:uid="{0E89476C-DBA2-4D22-878C-6BFE074419F2}"/>
    <hyperlink ref="G48" r:id="rId230" display="https://www.investing.com/pro/pricing?entry=balance-sheet" xr:uid="{67C494BB-0F34-4DF7-946F-428137100639}"/>
    <hyperlink ref="C49" r:id="rId231" display="https://www.investing.com/pro/pricing?entry=balance-sheet" xr:uid="{63444197-5259-4C1A-B601-91A5FA690AFD}"/>
    <hyperlink ref="D49" r:id="rId232" display="https://www.investing.com/pro/pricing?entry=balance-sheet" xr:uid="{755B52B8-6027-4CAA-9022-94948B68B1E9}"/>
    <hyperlink ref="E49" r:id="rId233" display="https://www.investing.com/pro/pricing?entry=balance-sheet" xr:uid="{DD630C06-2780-4523-8656-67FF211BC726}"/>
    <hyperlink ref="F49" r:id="rId234" display="https://www.investing.com/pro/pricing?entry=balance-sheet" xr:uid="{3BE6B8FE-75E8-4444-9D94-A98B345805D5}"/>
    <hyperlink ref="G49" r:id="rId235" display="https://www.investing.com/pro/pricing?entry=balance-sheet" xr:uid="{0DABBAE7-10BC-4B95-ABAC-1CD9484C4D39}"/>
    <hyperlink ref="C50" r:id="rId236" display="https://www.investing.com/pro/pricing?entry=balance-sheet" xr:uid="{91B32B9D-5E25-442C-A5AC-2FD42FF6333F}"/>
    <hyperlink ref="D50" r:id="rId237" display="https://www.investing.com/pro/pricing?entry=balance-sheet" xr:uid="{C604092C-E538-453F-A337-B12BDA049EE5}"/>
    <hyperlink ref="E50" r:id="rId238" display="https://www.investing.com/pro/pricing?entry=balance-sheet" xr:uid="{6F30694E-5E5A-4936-B8BF-261B731C8B23}"/>
    <hyperlink ref="F50" r:id="rId239" display="https://www.investing.com/pro/pricing?entry=balance-sheet" xr:uid="{9B65ED4A-8C94-48E7-8ECE-922CCBFBE495}"/>
    <hyperlink ref="G50" r:id="rId240" display="https://www.investing.com/pro/pricing?entry=balance-sheet" xr:uid="{47BD0A7C-51CE-42C2-807E-F9CA7F8F141F}"/>
    <hyperlink ref="C51" r:id="rId241" display="https://www.investing.com/pro/pricing?entry=balance-sheet" xr:uid="{771E9A8C-3C33-4A5D-9FEB-3BAD36F8748C}"/>
    <hyperlink ref="D51" r:id="rId242" display="https://www.investing.com/pro/pricing?entry=balance-sheet" xr:uid="{A0D91735-44FF-4226-AA97-DC104AD34E94}"/>
    <hyperlink ref="E51" r:id="rId243" display="https://www.investing.com/pro/pricing?entry=balance-sheet" xr:uid="{7B074280-DF91-4C49-948A-3BB0B2864E8B}"/>
    <hyperlink ref="F51" r:id="rId244" display="https://www.investing.com/pro/pricing?entry=balance-sheet" xr:uid="{0E1257CF-AA77-42E7-9FA2-31D80FC71B64}"/>
    <hyperlink ref="G51" r:id="rId245" display="https://www.investing.com/pro/pricing?entry=balance-sheet" xr:uid="{5C9207B7-7049-41B0-8EC5-DB2BC5ABF6F9}"/>
    <hyperlink ref="C52" r:id="rId246" display="https://www.investing.com/pro/pricing?entry=balance-sheet" xr:uid="{F597A983-D99C-4913-96F3-1B8FE41FD466}"/>
    <hyperlink ref="D52" r:id="rId247" display="https://www.investing.com/pro/pricing?entry=balance-sheet" xr:uid="{FD7D34D9-62D4-4E3B-8D0A-3AF30B16C929}"/>
    <hyperlink ref="E52" r:id="rId248" display="https://www.investing.com/pro/pricing?entry=balance-sheet" xr:uid="{55E6A1BD-1CF3-4434-96D3-180178AEEF8B}"/>
    <hyperlink ref="F52" r:id="rId249" display="https://www.investing.com/pro/pricing?entry=balance-sheet" xr:uid="{8ECD5AF8-34AD-49E0-904E-5B3826859F36}"/>
    <hyperlink ref="G52" r:id="rId250" display="https://www.investing.com/pro/pricing?entry=balance-sheet" xr:uid="{E4249553-0BAC-41AC-A15A-A2DD3BFDA6EB}"/>
    <hyperlink ref="C53" r:id="rId251" display="https://www.investing.com/pro/pricing?entry=balance-sheet" xr:uid="{ACBBA5CB-0F6B-4880-8D49-C46B90294602}"/>
    <hyperlink ref="D53" r:id="rId252" display="https://www.investing.com/pro/pricing?entry=balance-sheet" xr:uid="{97EB1932-89F9-4EBF-BC60-D23EA4B44C31}"/>
    <hyperlink ref="E53" r:id="rId253" display="https://www.investing.com/pro/pricing?entry=balance-sheet" xr:uid="{6F84266B-A35C-46C3-9C76-2C4F94567389}"/>
    <hyperlink ref="F53" r:id="rId254" display="https://www.investing.com/pro/pricing?entry=balance-sheet" xr:uid="{76AAAE73-99A8-41B1-9C33-8D5793BF0D8E}"/>
    <hyperlink ref="G53" r:id="rId255" display="https://www.investing.com/pro/pricing?entry=balance-sheet" xr:uid="{FFAB700A-87AE-4BB4-B0FE-00E06B745E2A}"/>
    <hyperlink ref="C54" r:id="rId256" display="https://www.investing.com/pro/pricing?entry=balance-sheet" xr:uid="{5E41935E-C256-45DF-91E3-3ABFEFA0427F}"/>
    <hyperlink ref="D54" r:id="rId257" display="https://www.investing.com/pro/pricing?entry=balance-sheet" xr:uid="{3C60F551-E8B8-45D0-9EAE-146CC9713FBA}"/>
    <hyperlink ref="E54" r:id="rId258" display="https://www.investing.com/pro/pricing?entry=balance-sheet" xr:uid="{A2C8599C-9F37-495B-862F-3A011366DE42}"/>
    <hyperlink ref="F54" r:id="rId259" display="https://www.investing.com/pro/pricing?entry=balance-sheet" xr:uid="{0864DD61-F988-4E13-B69D-9888D943E8DF}"/>
    <hyperlink ref="G54" r:id="rId260" display="https://www.investing.com/pro/pricing?entry=balance-sheet" xr:uid="{9B2F5B3D-D9B8-4937-AF98-26B332BFC532}"/>
    <hyperlink ref="C55" r:id="rId261" display="https://www.investing.com/pro/pricing?entry=balance-sheet" xr:uid="{0B149362-AECB-4D37-807D-B803900F04C4}"/>
    <hyperlink ref="D55" r:id="rId262" display="https://www.investing.com/pro/pricing?entry=balance-sheet" xr:uid="{89E823D7-E83A-4639-91BF-7A709889BF4F}"/>
    <hyperlink ref="E55" r:id="rId263" display="https://www.investing.com/pro/pricing?entry=balance-sheet" xr:uid="{89919398-15BE-4E25-ABCD-966E56C81D27}"/>
    <hyperlink ref="F55" r:id="rId264" display="https://www.investing.com/pro/pricing?entry=balance-sheet" xr:uid="{026580B2-C1A5-429D-A017-F697B77CD56D}"/>
    <hyperlink ref="G55" r:id="rId265" display="https://www.investing.com/pro/pricing?entry=balance-sheet" xr:uid="{BBD31787-3078-401A-AB48-85701E7D05BF}"/>
    <hyperlink ref="C56" r:id="rId266" display="https://www.investing.com/pro/pricing?entry=balance-sheet" xr:uid="{9121FB20-675B-4A36-9DAD-E0C348AE2F27}"/>
    <hyperlink ref="D56" r:id="rId267" display="https://www.investing.com/pro/pricing?entry=balance-sheet" xr:uid="{950EA3E4-1893-4D08-88F1-5E45D958F61F}"/>
    <hyperlink ref="E56" r:id="rId268" display="https://www.investing.com/pro/pricing?entry=balance-sheet" xr:uid="{E8F4FDBE-3DD3-43DF-B4E0-C0094CAFF574}"/>
    <hyperlink ref="F56" r:id="rId269" display="https://www.investing.com/pro/pricing?entry=balance-sheet" xr:uid="{BCCEEB13-3281-4BE8-AE7D-1046B0741175}"/>
    <hyperlink ref="G56" r:id="rId270" display="https://www.investing.com/pro/pricing?entry=balance-sheet" xr:uid="{8EE34B6F-48F2-4BA8-B548-D38AFEC53C74}"/>
    <hyperlink ref="C57" r:id="rId271" display="https://www.investing.com/pro/pricing?entry=balance-sheet" xr:uid="{F13A4558-76E6-4236-881D-24CA95329FBF}"/>
    <hyperlink ref="D57" r:id="rId272" display="https://www.investing.com/pro/pricing?entry=balance-sheet" xr:uid="{BA204794-4900-4643-AF0D-39A89DB3E60E}"/>
    <hyperlink ref="E57" r:id="rId273" display="https://www.investing.com/pro/pricing?entry=balance-sheet" xr:uid="{619054CE-47DE-4D8D-9A2F-75276B03B92C}"/>
    <hyperlink ref="F57" r:id="rId274" display="https://www.investing.com/pro/pricing?entry=balance-sheet" xr:uid="{C8962785-DDA3-43E3-B87A-013D364E1BD3}"/>
    <hyperlink ref="G57" r:id="rId275" display="https://www.investing.com/pro/pricing?entry=balance-sheet" xr:uid="{60523196-C3B5-4485-B87B-0156502ABDD4}"/>
    <hyperlink ref="C58" r:id="rId276" display="https://www.investing.com/pro/pricing?entry=balance-sheet" xr:uid="{7661C1DC-C230-4B54-965D-B23F2C9BD2A1}"/>
    <hyperlink ref="D58" r:id="rId277" display="https://www.investing.com/pro/pricing?entry=balance-sheet" xr:uid="{866B34F4-6D85-40A4-AA92-716E2E23949A}"/>
    <hyperlink ref="E58" r:id="rId278" display="https://www.investing.com/pro/pricing?entry=balance-sheet" xr:uid="{556E16E3-D6B0-420F-8B59-04BF58BE292C}"/>
    <hyperlink ref="F58" r:id="rId279" display="https://www.investing.com/pro/pricing?entry=balance-sheet" xr:uid="{C8A80879-92D5-468A-86E7-A18255249B21}"/>
    <hyperlink ref="G58" r:id="rId280" display="https://www.investing.com/pro/pricing?entry=balance-sheet" xr:uid="{38E7481B-66CB-4297-89E2-08E96928EA2C}"/>
    <hyperlink ref="C59" r:id="rId281" display="https://www.investing.com/pro/pricing?entry=balance-sheet" xr:uid="{A94E85AA-9813-43C3-81BA-28835BF83961}"/>
    <hyperlink ref="D59" r:id="rId282" display="https://www.investing.com/pro/pricing?entry=balance-sheet" xr:uid="{45326E07-E395-4778-AF3B-4D0707DDB882}"/>
    <hyperlink ref="E59" r:id="rId283" display="https://www.investing.com/pro/pricing?entry=balance-sheet" xr:uid="{0D9FF823-389F-4A1D-9BB0-8D3291594D46}"/>
    <hyperlink ref="F59" r:id="rId284" display="https://www.investing.com/pro/pricing?entry=balance-sheet" xr:uid="{A09718C8-165D-4D35-9519-1E6D4B703D09}"/>
    <hyperlink ref="G59" r:id="rId285" display="https://www.investing.com/pro/pricing?entry=balance-sheet" xr:uid="{47128015-1FD5-4C4C-A0BB-BF7AE22F143A}"/>
    <hyperlink ref="C60" r:id="rId286" display="https://www.investing.com/pro/pricing?entry=balance-sheet" xr:uid="{BA84B3A6-5D30-4A7D-AF73-E64F82D8DE2B}"/>
    <hyperlink ref="D60" r:id="rId287" display="https://www.investing.com/pro/pricing?entry=balance-sheet" xr:uid="{CA39A17C-CC77-472D-A34A-6742C5096943}"/>
    <hyperlink ref="E60" r:id="rId288" display="https://www.investing.com/pro/pricing?entry=balance-sheet" xr:uid="{3106EA0A-542D-4E73-ABE4-8BC580D29079}"/>
    <hyperlink ref="F60" r:id="rId289" display="https://www.investing.com/pro/pricing?entry=balance-sheet" xr:uid="{9DE7236D-FD82-48CB-90A1-C76E6F71509D}"/>
    <hyperlink ref="G60" r:id="rId290" display="https://www.investing.com/pro/pricing?entry=balance-sheet" xr:uid="{5017BB9B-6956-483F-98B4-3E42B9CB6AE7}"/>
    <hyperlink ref="C61" r:id="rId291" display="https://www.investing.com/pro/pricing?entry=balance-sheet" xr:uid="{CB21C222-A135-432F-8075-3690BA232321}"/>
    <hyperlink ref="D61" r:id="rId292" display="https://www.investing.com/pro/pricing?entry=balance-sheet" xr:uid="{5911C4F9-78FA-4A89-814C-38C67AF2ABDF}"/>
    <hyperlink ref="E61" r:id="rId293" display="https://www.investing.com/pro/pricing?entry=balance-sheet" xr:uid="{D41BE36E-86B9-4487-A029-0740F348E51F}"/>
    <hyperlink ref="F61" r:id="rId294" display="https://www.investing.com/pro/pricing?entry=balance-sheet" xr:uid="{F8E040A5-5509-40DB-8BA9-D6B6D5454D01}"/>
    <hyperlink ref="G61" r:id="rId295" display="https://www.investing.com/pro/pricing?entry=balance-sheet" xr:uid="{E51E62BE-2A62-41BB-B134-9B0AAD0B3E59}"/>
    <hyperlink ref="C62" r:id="rId296" display="https://www.investing.com/pro/pricing?entry=balance-sheet" xr:uid="{3C0E46BC-9251-4CDE-ACA6-DF4644836AD1}"/>
    <hyperlink ref="D62" r:id="rId297" display="https://www.investing.com/pro/pricing?entry=balance-sheet" xr:uid="{A57E0F86-C898-445D-98AC-662254EF1D8E}"/>
    <hyperlink ref="E62" r:id="rId298" display="https://www.investing.com/pro/pricing?entry=balance-sheet" xr:uid="{355D6E92-F4B3-495D-A549-0934E284BC91}"/>
    <hyperlink ref="F62" r:id="rId299" display="https://www.investing.com/pro/pricing?entry=balance-sheet" xr:uid="{8BD24E91-161A-4955-87E0-867CE7D1C4D5}"/>
    <hyperlink ref="G62" r:id="rId300" display="https://www.investing.com/pro/pricing?entry=balance-sheet" xr:uid="{0EDEF8FE-7735-4CDB-8ABA-A1435439EF59}"/>
    <hyperlink ref="C63" r:id="rId301" display="https://www.investing.com/pro/pricing?entry=balance-sheet" xr:uid="{FCFB0FC3-3E1E-484A-9408-A55774521A07}"/>
    <hyperlink ref="D63" r:id="rId302" display="https://www.investing.com/pro/pricing?entry=balance-sheet" xr:uid="{112FA87D-DACB-4481-BBF5-402DA899436A}"/>
    <hyperlink ref="E63" r:id="rId303" display="https://www.investing.com/pro/pricing?entry=balance-sheet" xr:uid="{15399466-FA4F-4E20-990F-130FFB81300F}"/>
    <hyperlink ref="F63" r:id="rId304" display="https://www.investing.com/pro/pricing?entry=balance-sheet" xr:uid="{05BC4FB1-767A-4DAA-9AD0-FABBFC85C629}"/>
    <hyperlink ref="G63" r:id="rId305" display="https://www.investing.com/pro/pricing?entry=balance-sheet" xr:uid="{A53B154B-0008-46F4-A8B5-2A60398EB066}"/>
    <hyperlink ref="C64" r:id="rId306" display="https://www.investing.com/pro/pricing?entry=balance-sheet" xr:uid="{B655962D-73CA-4B81-95B3-11316072E532}"/>
    <hyperlink ref="D64" r:id="rId307" display="https://www.investing.com/pro/pricing?entry=balance-sheet" xr:uid="{7FC12B2D-9600-4CFD-A433-4E7C632C7F93}"/>
    <hyperlink ref="E64" r:id="rId308" display="https://www.investing.com/pro/pricing?entry=balance-sheet" xr:uid="{858C0D24-55A6-4F41-9635-01CFE544B85F}"/>
    <hyperlink ref="F64" r:id="rId309" display="https://www.investing.com/pro/pricing?entry=balance-sheet" xr:uid="{99A7BBBA-D8EC-4456-B319-F97861CF9C0C}"/>
    <hyperlink ref="G64" r:id="rId310" display="https://www.investing.com/pro/pricing?entry=balance-sheet" xr:uid="{1FB06DA2-B7B6-40EA-A87A-60E41B2046F3}"/>
    <hyperlink ref="C65" r:id="rId311" display="https://www.investing.com/pro/pricing?entry=balance-sheet" xr:uid="{2AFAC867-611E-4B3A-8C53-1A4C17A411D1}"/>
    <hyperlink ref="D65" r:id="rId312" display="https://www.investing.com/pro/pricing?entry=balance-sheet" xr:uid="{58B7B811-7870-4CB5-8D87-44ACC96D6833}"/>
    <hyperlink ref="E65" r:id="rId313" display="https://www.investing.com/pro/pricing?entry=balance-sheet" xr:uid="{06D1FFEB-08FA-4A92-8C09-2564EB293E4B}"/>
    <hyperlink ref="F65" r:id="rId314" display="https://www.investing.com/pro/pricing?entry=balance-sheet" xr:uid="{062A17DB-9DFD-48E9-8576-9871FF7EA80E}"/>
    <hyperlink ref="G65" r:id="rId315" display="https://www.investing.com/pro/pricing?entry=balance-sheet" xr:uid="{6E5E3187-DFC6-4A1A-A43B-31EE81629997}"/>
    <hyperlink ref="C66" r:id="rId316" display="https://www.investing.com/pro/pricing?entry=balance-sheet" xr:uid="{B1B1CEFE-7323-47B3-B306-B23931FE66CA}"/>
    <hyperlink ref="D66" r:id="rId317" display="https://www.investing.com/pro/pricing?entry=balance-sheet" xr:uid="{BC8765A1-CDA1-4346-BE15-6B2C62578863}"/>
    <hyperlink ref="E66" r:id="rId318" display="https://www.investing.com/pro/pricing?entry=balance-sheet" xr:uid="{9CED6117-E60E-4A8C-920D-8C8FC5D009DE}"/>
    <hyperlink ref="F66" r:id="rId319" display="https://www.investing.com/pro/pricing?entry=balance-sheet" xr:uid="{69039C51-DC93-4F4D-AA26-A345F0C8B0EA}"/>
    <hyperlink ref="G66" r:id="rId320" display="https://www.investing.com/pro/pricing?entry=balance-sheet" xr:uid="{D5A7672F-02B7-4A42-AC6E-E2A8785505F3}"/>
    <hyperlink ref="C68" r:id="rId321" display="https://www.investing.com/pro/pricing?entry=balance-sheet" xr:uid="{58EE64CB-33FD-4C23-B961-BD075E0D19C0}"/>
    <hyperlink ref="D68" r:id="rId322" display="https://www.investing.com/pro/pricing?entry=balance-sheet" xr:uid="{47A56103-48D9-46FD-8D08-7D14833CFFDF}"/>
    <hyperlink ref="E68" r:id="rId323" display="https://www.investing.com/pro/pricing?entry=balance-sheet" xr:uid="{DB4A5261-92B8-4455-AD52-70DA09CEBE73}"/>
    <hyperlink ref="F68" r:id="rId324" display="https://www.investing.com/pro/pricing?entry=balance-sheet" xr:uid="{5EA14379-91FD-453F-B53C-EA195E012C50}"/>
    <hyperlink ref="G68" r:id="rId325" display="https://www.investing.com/pro/pricing?entry=balance-sheet" xr:uid="{C4CC57F1-9779-41CF-8F00-C66EF7723711}"/>
    <hyperlink ref="C69" r:id="rId326" display="https://www.investing.com/pro/pricing?entry=balance-sheet" xr:uid="{15822D62-1E54-4449-AC92-175FB8C55A49}"/>
    <hyperlink ref="D69" r:id="rId327" display="https://www.investing.com/pro/pricing?entry=balance-sheet" xr:uid="{FB124CE8-2023-4CFB-8493-E4016180D94A}"/>
    <hyperlink ref="E69" r:id="rId328" display="https://www.investing.com/pro/pricing?entry=balance-sheet" xr:uid="{E6DB59BD-16E3-47DA-83B1-CEE71D701924}"/>
    <hyperlink ref="F69" r:id="rId329" display="https://www.investing.com/pro/pricing?entry=balance-sheet" xr:uid="{4C7F9AFB-5708-4513-8A03-43ED23493644}"/>
    <hyperlink ref="G69" r:id="rId330" display="https://www.investing.com/pro/pricing?entry=balance-sheet" xr:uid="{6F8D0086-8AB3-49A6-AA48-D41ABB2DBD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AC16-1D23-4CBA-9F30-116A7338A754}">
  <dimension ref="A1:L40"/>
  <sheetViews>
    <sheetView topLeftCell="F1" workbookViewId="0">
      <selection activeCell="F15" sqref="F15"/>
    </sheetView>
  </sheetViews>
  <sheetFormatPr defaultRowHeight="15"/>
  <cols>
    <col min="8" max="8" width="15.42578125" customWidth="1"/>
    <col min="9" max="10" width="18" customWidth="1"/>
    <col min="11" max="11" width="20.7109375" customWidth="1"/>
    <col min="12" max="12" width="20.42578125" customWidth="1"/>
  </cols>
  <sheetData>
    <row r="1" spans="1:12" ht="16.5">
      <c r="A1" s="60" t="s">
        <v>0</v>
      </c>
      <c r="B1" s="29"/>
      <c r="C1" s="29"/>
      <c r="D1" s="29"/>
      <c r="E1" s="29"/>
      <c r="F1" s="29"/>
      <c r="H1" s="29">
        <v>2021</v>
      </c>
      <c r="I1" s="29">
        <v>2022</v>
      </c>
      <c r="J1" s="29">
        <v>2023</v>
      </c>
      <c r="K1" s="29">
        <v>2024</v>
      </c>
      <c r="L1" s="29">
        <v>2025</v>
      </c>
    </row>
    <row r="2" spans="1:12" ht="17.25" thickBot="1">
      <c r="A2" s="61"/>
      <c r="B2" s="1"/>
      <c r="C2" s="1"/>
      <c r="D2" s="1"/>
      <c r="E2" s="1"/>
      <c r="F2" s="1"/>
      <c r="H2" s="1">
        <v>45747</v>
      </c>
      <c r="I2" s="1">
        <v>45747</v>
      </c>
      <c r="J2" s="1">
        <v>45747</v>
      </c>
      <c r="K2" s="1">
        <v>45747</v>
      </c>
      <c r="L2" s="1">
        <v>45747</v>
      </c>
    </row>
    <row r="3" spans="1:12" ht="17.25" thickBot="1">
      <c r="A3" s="2"/>
      <c r="B3" s="4" t="s">
        <v>113</v>
      </c>
      <c r="C3" s="3"/>
      <c r="D3" s="3"/>
      <c r="E3" s="3"/>
      <c r="F3" s="3"/>
      <c r="G3" s="3"/>
      <c r="H3" s="32">
        <v>230719.6</v>
      </c>
      <c r="I3" s="32">
        <v>191635.8</v>
      </c>
      <c r="J3" s="32">
        <v>227769.60000000001</v>
      </c>
      <c r="K3" s="32">
        <v>182662.8</v>
      </c>
      <c r="L3" s="32">
        <v>91607.1</v>
      </c>
    </row>
    <row r="4" spans="1:12" ht="16.5">
      <c r="A4" s="4"/>
      <c r="B4" s="4" t="s">
        <v>114</v>
      </c>
      <c r="C4" s="5"/>
      <c r="D4" s="5"/>
      <c r="E4" s="5"/>
      <c r="F4" s="5"/>
      <c r="G4" s="5"/>
      <c r="H4" s="6">
        <v>2.5265</v>
      </c>
      <c r="I4" s="24">
        <v>-0.1694</v>
      </c>
      <c r="J4" s="6">
        <v>0.18859999999999999</v>
      </c>
      <c r="K4" s="24">
        <v>-0.19800000000000001</v>
      </c>
      <c r="L4" s="24">
        <v>-0.4985</v>
      </c>
    </row>
    <row r="5" spans="1:12" ht="16.5">
      <c r="A5" s="4"/>
      <c r="B5" s="4" t="s">
        <v>30</v>
      </c>
      <c r="C5" s="5"/>
      <c r="D5" s="5"/>
      <c r="E5" s="5"/>
      <c r="F5" s="5"/>
      <c r="G5" s="5"/>
      <c r="H5" s="8">
        <v>115829.3</v>
      </c>
      <c r="I5" s="8">
        <v>86693.3</v>
      </c>
      <c r="J5" s="8">
        <v>104707.2</v>
      </c>
      <c r="K5" s="8">
        <v>130591.1</v>
      </c>
      <c r="L5" s="8">
        <v>150371.1</v>
      </c>
    </row>
    <row r="6" spans="1:12" ht="16.5">
      <c r="A6" s="4"/>
      <c r="B6" s="4" t="s">
        <v>115</v>
      </c>
      <c r="C6" s="5"/>
      <c r="D6" s="5"/>
      <c r="E6" s="5"/>
      <c r="F6" s="5"/>
      <c r="G6" s="5"/>
      <c r="H6" s="8">
        <v>28134.799999999999</v>
      </c>
      <c r="I6" s="8">
        <v>29380.3</v>
      </c>
      <c r="J6" s="23">
        <v>33842</v>
      </c>
      <c r="K6" s="8">
        <v>34437.800000000003</v>
      </c>
      <c r="L6" s="8">
        <v>38756.1</v>
      </c>
    </row>
    <row r="7" spans="1:12" ht="16.5">
      <c r="A7" s="4"/>
      <c r="B7" s="4" t="s">
        <v>116</v>
      </c>
      <c r="C7" s="5"/>
      <c r="D7" s="5"/>
      <c r="E7" s="5"/>
      <c r="F7" s="5"/>
      <c r="G7" s="5"/>
      <c r="H7" s="7" t="s">
        <v>10</v>
      </c>
      <c r="I7" s="7" t="s">
        <v>10</v>
      </c>
      <c r="J7" s="7" t="s">
        <v>10</v>
      </c>
      <c r="K7" s="8">
        <v>2309.1999999999998</v>
      </c>
      <c r="L7" s="8">
        <v>2226.1</v>
      </c>
    </row>
    <row r="8" spans="1:12" ht="16.5">
      <c r="A8" s="4"/>
      <c r="B8" s="4" t="s">
        <v>117</v>
      </c>
      <c r="C8" s="5"/>
      <c r="D8" s="5"/>
      <c r="E8" s="5"/>
      <c r="F8" s="5"/>
      <c r="G8" s="5"/>
      <c r="H8" s="8">
        <v>-15223.5</v>
      </c>
      <c r="I8" s="8">
        <v>27995.9</v>
      </c>
      <c r="J8" s="23">
        <v>35429</v>
      </c>
      <c r="K8" s="8">
        <v>29175.5</v>
      </c>
      <c r="L8" s="8">
        <v>20893.3</v>
      </c>
    </row>
    <row r="9" spans="1:12" ht="16.5">
      <c r="A9" s="4"/>
      <c r="B9" s="4" t="s">
        <v>118</v>
      </c>
      <c r="C9" s="5"/>
      <c r="D9" s="5"/>
      <c r="E9" s="5"/>
      <c r="F9" s="5"/>
      <c r="G9" s="5"/>
      <c r="H9" s="23">
        <v>101979</v>
      </c>
      <c r="I9" s="8">
        <v>47566.3</v>
      </c>
      <c r="J9" s="8">
        <v>53791.4</v>
      </c>
      <c r="K9" s="8">
        <v>-13850.8</v>
      </c>
      <c r="L9" s="8">
        <v>-120639.5</v>
      </c>
    </row>
    <row r="10" spans="1:12" ht="17.25" thickBot="1">
      <c r="A10" s="2"/>
      <c r="B10" s="4" t="s">
        <v>119</v>
      </c>
      <c r="C10" s="3"/>
      <c r="D10" s="3"/>
      <c r="E10" s="3"/>
      <c r="F10" s="3"/>
      <c r="G10" s="3"/>
      <c r="H10" s="32">
        <v>-56585.2</v>
      </c>
      <c r="I10" s="32">
        <v>-36676.800000000003</v>
      </c>
      <c r="J10" s="33">
        <v>-83117</v>
      </c>
      <c r="K10" s="32">
        <v>21630.400000000001</v>
      </c>
      <c r="L10" s="32">
        <v>-155175.1</v>
      </c>
    </row>
    <row r="11" spans="1:12" ht="16.5">
      <c r="A11" s="4"/>
      <c r="B11" s="4" t="s">
        <v>120</v>
      </c>
      <c r="C11" s="5"/>
      <c r="D11" s="5"/>
      <c r="E11" s="5"/>
      <c r="F11" s="5"/>
      <c r="G11" s="5"/>
      <c r="H11" s="6">
        <v>0.31459999999999999</v>
      </c>
      <c r="I11" s="6">
        <v>0.3518</v>
      </c>
      <c r="J11" s="24">
        <v>-1.2662</v>
      </c>
      <c r="K11" s="6">
        <v>1.2602</v>
      </c>
      <c r="L11" s="24">
        <v>-8.1738999999999997</v>
      </c>
    </row>
    <row r="12" spans="1:12" ht="16.5">
      <c r="A12" s="4"/>
      <c r="B12" s="4" t="s">
        <v>121</v>
      </c>
      <c r="C12" s="5"/>
      <c r="D12" s="5"/>
      <c r="E12" s="5"/>
      <c r="F12" s="5"/>
      <c r="G12" s="5"/>
      <c r="H12" s="23">
        <v>-18077</v>
      </c>
      <c r="I12" s="8">
        <v>-31106.3</v>
      </c>
      <c r="J12" s="8">
        <v>-41437.9</v>
      </c>
      <c r="K12" s="8">
        <v>-45165.3</v>
      </c>
      <c r="L12" s="8">
        <v>-44188.3</v>
      </c>
    </row>
    <row r="13" spans="1:12" ht="16.5">
      <c r="A13" s="4"/>
      <c r="B13" s="4" t="s">
        <v>122</v>
      </c>
      <c r="C13" s="5"/>
      <c r="D13" s="5"/>
      <c r="E13" s="5"/>
      <c r="F13" s="5"/>
      <c r="G13" s="5"/>
      <c r="H13" s="8">
        <v>8853.6</v>
      </c>
      <c r="I13" s="7">
        <v>707.5</v>
      </c>
      <c r="J13" s="8">
        <v>3503.7</v>
      </c>
      <c r="K13" s="8">
        <v>3060.6</v>
      </c>
      <c r="L13" s="8">
        <v>8781.7000000000007</v>
      </c>
    </row>
    <row r="14" spans="1:12" ht="16.5">
      <c r="A14" s="4"/>
      <c r="B14" s="4" t="s">
        <v>123</v>
      </c>
      <c r="C14" s="5"/>
      <c r="D14" s="5"/>
      <c r="E14" s="5"/>
      <c r="F14" s="5"/>
      <c r="G14" s="5"/>
      <c r="H14" s="23">
        <v>-1147</v>
      </c>
      <c r="I14" s="7">
        <v>-779.4</v>
      </c>
      <c r="J14" s="8">
        <v>-1245.5999999999999</v>
      </c>
      <c r="K14" s="7">
        <v>-131.30000000000001</v>
      </c>
      <c r="L14" s="8">
        <v>-10201.4</v>
      </c>
    </row>
    <row r="15" spans="1:12" ht="16.5">
      <c r="A15" s="4"/>
      <c r="B15" s="4" t="s">
        <v>124</v>
      </c>
      <c r="C15" s="5"/>
      <c r="D15" s="5"/>
      <c r="E15" s="5"/>
      <c r="F15" s="5"/>
      <c r="G15" s="5"/>
      <c r="H15" s="8">
        <v>3094.7</v>
      </c>
      <c r="I15" s="8">
        <v>9506.6</v>
      </c>
      <c r="J15" s="8">
        <v>28724.3</v>
      </c>
      <c r="K15" s="8">
        <v>8610.2999999999993</v>
      </c>
      <c r="L15" s="8">
        <v>17521.099999999999</v>
      </c>
    </row>
    <row r="16" spans="1:12" ht="16.5">
      <c r="A16" s="4"/>
      <c r="B16" s="4" t="s">
        <v>125</v>
      </c>
      <c r="C16" s="5"/>
      <c r="D16" s="5"/>
      <c r="E16" s="5"/>
      <c r="F16" s="5"/>
      <c r="G16" s="5"/>
      <c r="H16" s="8">
        <v>-49309.5</v>
      </c>
      <c r="I16" s="8">
        <v>-15005.2</v>
      </c>
      <c r="J16" s="8">
        <v>-72661.5</v>
      </c>
      <c r="K16" s="8">
        <v>55256.1</v>
      </c>
      <c r="L16" s="8">
        <v>-127088.2</v>
      </c>
    </row>
    <row r="17" spans="1:12" ht="17.25" thickBot="1">
      <c r="A17" s="2"/>
      <c r="B17" s="4" t="s">
        <v>126</v>
      </c>
      <c r="C17" s="3"/>
      <c r="D17" s="3"/>
      <c r="E17" s="3"/>
      <c r="F17" s="3"/>
      <c r="G17" s="3"/>
      <c r="H17" s="32">
        <v>-152743.79999999999</v>
      </c>
      <c r="I17" s="32">
        <v>-151814.79999999999</v>
      </c>
      <c r="J17" s="32">
        <v>-115724.9</v>
      </c>
      <c r="K17" s="32">
        <v>-254133.6</v>
      </c>
      <c r="L17" s="32">
        <v>65566.2</v>
      </c>
    </row>
    <row r="18" spans="1:12" ht="16.5">
      <c r="A18" s="4"/>
      <c r="B18" s="4" t="s">
        <v>127</v>
      </c>
      <c r="C18" s="5"/>
      <c r="D18" s="5"/>
      <c r="E18" s="5"/>
      <c r="F18" s="5"/>
      <c r="G18" s="5"/>
      <c r="H18" s="24">
        <v>-3.3973</v>
      </c>
      <c r="I18" s="6">
        <v>6.1000000000000004E-3</v>
      </c>
      <c r="J18" s="6">
        <v>0.23769999999999999</v>
      </c>
      <c r="K18" s="24">
        <v>-1.196</v>
      </c>
      <c r="L18" s="6">
        <v>1.258</v>
      </c>
    </row>
    <row r="19" spans="1:12" ht="16.5">
      <c r="A19" s="4"/>
      <c r="B19" s="4" t="s">
        <v>128</v>
      </c>
      <c r="C19" s="5"/>
      <c r="D19" s="5"/>
      <c r="E19" s="5"/>
      <c r="F19" s="5"/>
      <c r="G19" s="5"/>
      <c r="H19" s="23">
        <v>362586</v>
      </c>
      <c r="I19" s="8">
        <v>273932.59999999998</v>
      </c>
      <c r="J19" s="8">
        <v>282983.3</v>
      </c>
      <c r="K19" s="8">
        <v>231254.3</v>
      </c>
      <c r="L19" s="8">
        <v>464970.1</v>
      </c>
    </row>
    <row r="20" spans="1:12" ht="16.5">
      <c r="A20" s="4"/>
      <c r="B20" s="4" t="s">
        <v>129</v>
      </c>
      <c r="C20" s="5"/>
      <c r="D20" s="5"/>
      <c r="E20" s="5"/>
      <c r="F20" s="5"/>
      <c r="G20" s="5"/>
      <c r="H20" s="7" t="s">
        <v>10</v>
      </c>
      <c r="I20" s="7" t="s">
        <v>10</v>
      </c>
      <c r="J20" s="23">
        <v>3574</v>
      </c>
      <c r="K20" s="7" t="s">
        <v>10</v>
      </c>
      <c r="L20" s="7" t="s">
        <v>10</v>
      </c>
    </row>
    <row r="21" spans="1:12" ht="16.5">
      <c r="A21" s="4"/>
      <c r="B21" s="4" t="s">
        <v>130</v>
      </c>
      <c r="C21" s="5"/>
      <c r="D21" s="5"/>
      <c r="E21" s="5"/>
      <c r="F21" s="5"/>
      <c r="G21" s="5"/>
      <c r="H21" s="23">
        <v>362586</v>
      </c>
      <c r="I21" s="8">
        <v>273932.59999999998</v>
      </c>
      <c r="J21" s="8">
        <v>279409.3</v>
      </c>
      <c r="K21" s="8">
        <v>231254.3</v>
      </c>
      <c r="L21" s="8">
        <v>464970.1</v>
      </c>
    </row>
    <row r="22" spans="1:12" ht="16.5">
      <c r="A22" s="4"/>
      <c r="B22" s="4" t="s">
        <v>131</v>
      </c>
      <c r="C22" s="5"/>
      <c r="D22" s="5"/>
      <c r="E22" s="5"/>
      <c r="F22" s="5"/>
      <c r="G22" s="5"/>
      <c r="H22" s="23">
        <v>-453727</v>
      </c>
      <c r="I22" s="8">
        <v>-362136.4</v>
      </c>
      <c r="J22" s="8">
        <v>-332183.3</v>
      </c>
      <c r="K22" s="8">
        <v>-276876.90000000002</v>
      </c>
      <c r="L22" s="8">
        <v>-313447.09999999998</v>
      </c>
    </row>
    <row r="23" spans="1:12" ht="16.5">
      <c r="A23" s="4"/>
      <c r="B23" s="4" t="s">
        <v>132</v>
      </c>
      <c r="C23" s="5"/>
      <c r="D23" s="5"/>
      <c r="E23" s="5"/>
      <c r="F23" s="5"/>
      <c r="G23" s="5"/>
      <c r="H23" s="7" t="s">
        <v>10</v>
      </c>
      <c r="I23" s="7" t="s">
        <v>10</v>
      </c>
      <c r="J23" s="7" t="s">
        <v>10</v>
      </c>
      <c r="K23" s="7" t="s">
        <v>10</v>
      </c>
      <c r="L23" s="7" t="s">
        <v>10</v>
      </c>
    </row>
    <row r="24" spans="1:12" ht="16.5">
      <c r="A24" s="4"/>
      <c r="B24" s="4" t="s">
        <v>133</v>
      </c>
      <c r="C24" s="5"/>
      <c r="D24" s="5"/>
      <c r="E24" s="5"/>
      <c r="F24" s="5"/>
      <c r="G24" s="5"/>
      <c r="H24" s="23">
        <v>-453727</v>
      </c>
      <c r="I24" s="8">
        <v>-362136.4</v>
      </c>
      <c r="J24" s="8">
        <v>-332183.3</v>
      </c>
      <c r="K24" s="8">
        <v>-276876.90000000002</v>
      </c>
      <c r="L24" s="8">
        <v>-313447.09999999998</v>
      </c>
    </row>
    <row r="25" spans="1:12" ht="16.5">
      <c r="A25" s="4"/>
      <c r="B25" s="4" t="s">
        <v>134</v>
      </c>
      <c r="C25" s="5"/>
      <c r="D25" s="5"/>
      <c r="E25" s="5"/>
      <c r="F25" s="5"/>
      <c r="G25" s="5"/>
      <c r="H25" s="7">
        <v>158.5</v>
      </c>
      <c r="I25" s="7">
        <v>109.7</v>
      </c>
      <c r="J25" s="7">
        <v>103.1</v>
      </c>
      <c r="K25" s="7">
        <v>96.5</v>
      </c>
      <c r="L25" s="7">
        <v>93.2</v>
      </c>
    </row>
    <row r="26" spans="1:12" ht="16.5">
      <c r="A26" s="4"/>
      <c r="B26" s="4" t="s">
        <v>135</v>
      </c>
      <c r="C26" s="5"/>
      <c r="D26" s="5"/>
      <c r="E26" s="5"/>
      <c r="F26" s="5"/>
      <c r="G26" s="5"/>
      <c r="H26" s="7" t="s">
        <v>10</v>
      </c>
      <c r="I26" s="7" t="s">
        <v>10</v>
      </c>
      <c r="J26" s="7" t="s">
        <v>10</v>
      </c>
      <c r="K26" s="8">
        <v>-122798.8</v>
      </c>
      <c r="L26" s="7" t="s">
        <v>10</v>
      </c>
    </row>
    <row r="27" spans="1:12" ht="16.5">
      <c r="A27" s="4"/>
      <c r="B27" s="4" t="s">
        <v>136</v>
      </c>
      <c r="C27" s="5"/>
      <c r="D27" s="5"/>
      <c r="E27" s="5"/>
      <c r="F27" s="5"/>
      <c r="G27" s="5"/>
      <c r="H27" s="7" t="s">
        <v>10</v>
      </c>
      <c r="I27" s="7" t="s">
        <v>10</v>
      </c>
      <c r="J27" s="7" t="s">
        <v>10</v>
      </c>
      <c r="K27" s="7" t="s">
        <v>10</v>
      </c>
      <c r="L27" s="7" t="s">
        <v>10</v>
      </c>
    </row>
    <row r="28" spans="1:12" ht="16.5">
      <c r="A28" s="4"/>
      <c r="B28" s="4" t="s">
        <v>137</v>
      </c>
      <c r="C28" s="5"/>
      <c r="D28" s="5"/>
      <c r="E28" s="5"/>
      <c r="F28" s="5"/>
      <c r="G28" s="5"/>
      <c r="H28" s="7" t="s">
        <v>10</v>
      </c>
      <c r="I28" s="7" t="s">
        <v>10</v>
      </c>
      <c r="J28" s="7" t="s">
        <v>10</v>
      </c>
      <c r="K28" s="7" t="s">
        <v>10</v>
      </c>
      <c r="L28" s="7" t="s">
        <v>10</v>
      </c>
    </row>
    <row r="29" spans="1:12" ht="16.5">
      <c r="A29" s="4"/>
      <c r="B29" s="4" t="s">
        <v>138</v>
      </c>
      <c r="C29" s="5"/>
      <c r="D29" s="5"/>
      <c r="E29" s="5"/>
      <c r="F29" s="5"/>
      <c r="G29" s="5"/>
      <c r="H29" s="8">
        <v>-11232.3</v>
      </c>
      <c r="I29" s="8">
        <v>-25283.8</v>
      </c>
      <c r="J29" s="8">
        <v>-30914.2</v>
      </c>
      <c r="K29" s="8">
        <v>-33735.599999999999</v>
      </c>
      <c r="L29" s="8">
        <v>-38495.699999999997</v>
      </c>
    </row>
    <row r="30" spans="1:12" ht="16.5">
      <c r="A30" s="4"/>
      <c r="B30" s="4" t="s">
        <v>139</v>
      </c>
      <c r="C30" s="5"/>
      <c r="D30" s="5"/>
      <c r="E30" s="5"/>
      <c r="F30" s="5"/>
      <c r="G30" s="5"/>
      <c r="H30" s="8">
        <v>-25276.6</v>
      </c>
      <c r="I30" s="7" t="s">
        <v>10</v>
      </c>
      <c r="J30" s="7" t="s">
        <v>10</v>
      </c>
      <c r="K30" s="8">
        <v>-8433.9</v>
      </c>
      <c r="L30" s="7" t="s">
        <v>10</v>
      </c>
    </row>
    <row r="31" spans="1:12" ht="16.5">
      <c r="A31" s="4"/>
      <c r="B31" s="4" t="s">
        <v>140</v>
      </c>
      <c r="C31" s="5"/>
      <c r="D31" s="5"/>
      <c r="E31" s="5"/>
      <c r="F31" s="5"/>
      <c r="G31" s="5"/>
      <c r="H31" s="23">
        <v>-50529</v>
      </c>
      <c r="I31" s="8">
        <v>-38436.9</v>
      </c>
      <c r="J31" s="8">
        <v>-35713.800000000003</v>
      </c>
      <c r="K31" s="8">
        <v>-52073.1</v>
      </c>
      <c r="L31" s="8">
        <v>-47554.3</v>
      </c>
    </row>
    <row r="32" spans="1:12" ht="16.5">
      <c r="A32" s="4"/>
      <c r="B32" s="4" t="s">
        <v>141</v>
      </c>
      <c r="C32" s="5"/>
      <c r="D32" s="5"/>
      <c r="E32" s="5"/>
      <c r="F32" s="5"/>
      <c r="G32" s="5"/>
      <c r="H32" s="7">
        <v>-901.1</v>
      </c>
      <c r="I32" s="7">
        <v>823</v>
      </c>
      <c r="J32" s="8">
        <v>2636.8</v>
      </c>
      <c r="K32" s="7">
        <v>158.5</v>
      </c>
      <c r="L32" s="7">
        <v>286.8</v>
      </c>
    </row>
    <row r="33" spans="1:12" ht="16.5">
      <c r="A33" s="4"/>
      <c r="B33" s="4" t="s">
        <v>142</v>
      </c>
      <c r="C33" s="5"/>
      <c r="D33" s="5"/>
      <c r="E33" s="5"/>
      <c r="F33" s="5"/>
      <c r="G33" s="5"/>
      <c r="H33" s="7" t="s">
        <v>10</v>
      </c>
      <c r="I33" s="7" t="s">
        <v>10</v>
      </c>
      <c r="J33" s="7" t="s">
        <v>10</v>
      </c>
      <c r="K33" s="7" t="s">
        <v>10</v>
      </c>
      <c r="L33" s="7" t="s">
        <v>10</v>
      </c>
    </row>
    <row r="34" spans="1:12" ht="17.25" thickBot="1">
      <c r="A34" s="2"/>
      <c r="B34" s="4" t="s">
        <v>143</v>
      </c>
      <c r="C34" s="3"/>
      <c r="D34" s="3"/>
      <c r="E34" s="3"/>
      <c r="F34" s="3"/>
      <c r="G34" s="3"/>
      <c r="H34" s="32">
        <v>20489.5</v>
      </c>
      <c r="I34" s="32">
        <v>3967.2</v>
      </c>
      <c r="J34" s="32">
        <v>31564.5</v>
      </c>
      <c r="K34" s="32">
        <v>-49681.9</v>
      </c>
      <c r="L34" s="33">
        <v>2285</v>
      </c>
    </row>
    <row r="35" spans="1:12" ht="16.5">
      <c r="A35" s="4"/>
      <c r="B35" s="4" t="s">
        <v>144</v>
      </c>
      <c r="C35" s="5"/>
      <c r="D35" s="5"/>
      <c r="E35" s="5"/>
      <c r="F35" s="5"/>
      <c r="G35" s="5"/>
      <c r="H35" s="8">
        <v>113245.7</v>
      </c>
      <c r="I35" s="8">
        <v>133735.20000000001</v>
      </c>
      <c r="J35" s="8">
        <v>137702.39999999999</v>
      </c>
      <c r="K35" s="8">
        <v>169266.9</v>
      </c>
      <c r="L35" s="23">
        <v>119585</v>
      </c>
    </row>
    <row r="36" spans="1:12" ht="16.5">
      <c r="A36" s="4"/>
      <c r="B36" s="4" t="s">
        <v>145</v>
      </c>
      <c r="C36" s="5"/>
      <c r="D36" s="5"/>
      <c r="E36" s="5"/>
      <c r="F36" s="5"/>
      <c r="G36" s="5"/>
      <c r="H36" s="8">
        <v>133735.20000000001</v>
      </c>
      <c r="I36" s="8">
        <v>137702.39999999999</v>
      </c>
      <c r="J36" s="8">
        <v>169266.9</v>
      </c>
      <c r="K36" s="23">
        <v>119585</v>
      </c>
      <c r="L36" s="23">
        <v>121870</v>
      </c>
    </row>
    <row r="37" spans="1:12" ht="16.5">
      <c r="A37" s="4"/>
      <c r="B37" s="4" t="s">
        <v>146</v>
      </c>
      <c r="C37" s="5"/>
      <c r="D37" s="5"/>
      <c r="E37" s="5"/>
      <c r="F37" s="5"/>
      <c r="G37" s="5"/>
      <c r="H37" s="8">
        <v>165256.56</v>
      </c>
      <c r="I37" s="8">
        <v>74625.7</v>
      </c>
      <c r="J37" s="8">
        <v>116513.8</v>
      </c>
      <c r="K37" s="8">
        <v>247452.79999999999</v>
      </c>
      <c r="L37" s="8">
        <v>98404.81</v>
      </c>
    </row>
    <row r="38" spans="1:12" ht="16.5">
      <c r="A38" s="4"/>
      <c r="B38" s="4" t="s">
        <v>147</v>
      </c>
      <c r="C38" s="5"/>
      <c r="D38" s="5"/>
      <c r="E38" s="5"/>
      <c r="F38" s="5"/>
      <c r="G38" s="5"/>
      <c r="H38" s="6">
        <v>45.917200000000001</v>
      </c>
      <c r="I38" s="24">
        <v>-0.5484</v>
      </c>
      <c r="J38" s="6">
        <v>0.56130000000000002</v>
      </c>
      <c r="K38" s="6">
        <v>1.1237999999999999</v>
      </c>
      <c r="L38" s="24">
        <v>-0.60229999999999995</v>
      </c>
    </row>
    <row r="39" spans="1:12" ht="16.5">
      <c r="A39" s="4"/>
      <c r="B39" s="4" t="s">
        <v>148</v>
      </c>
      <c r="C39" s="5"/>
      <c r="D39" s="5"/>
      <c r="E39" s="5"/>
      <c r="F39" s="5"/>
      <c r="G39" s="5"/>
      <c r="H39" s="25">
        <v>0.1067</v>
      </c>
      <c r="I39" s="25">
        <v>6.4600000000000005E-2</v>
      </c>
      <c r="J39" s="25">
        <v>6.13E-2</v>
      </c>
      <c r="K39" s="25">
        <v>2.63E-2</v>
      </c>
      <c r="L39" s="25">
        <v>9.9000000000000008E-3</v>
      </c>
    </row>
    <row r="40" spans="1:12" ht="115.5">
      <c r="A40" s="9" t="s">
        <v>47</v>
      </c>
    </row>
  </sheetData>
  <mergeCells count="1">
    <mergeCell ref="A1:A2"/>
  </mergeCells>
  <hyperlinks>
    <hyperlink ref="C3" r:id="rId1" display="https://www.investing.com/pro/pricing?entry=cashflow-statement" xr:uid="{491B2284-ABA8-45C9-8B20-3C3F947E8319}"/>
    <hyperlink ref="D3" r:id="rId2" display="https://www.investing.com/pro/pricing?entry=cashflow-statement" xr:uid="{233E0594-130D-4B15-ABE4-4225B32F2EA4}"/>
    <hyperlink ref="E3" r:id="rId3" display="https://www.investing.com/pro/pricing?entry=cashflow-statement" xr:uid="{615435C4-F474-4675-93D1-D76F46657962}"/>
    <hyperlink ref="F3" r:id="rId4" display="https://www.investing.com/pro/pricing?entry=cashflow-statement" xr:uid="{946F20F0-E5D1-4902-BA03-CCAFE73F45D1}"/>
    <hyperlink ref="G3" r:id="rId5" display="https://www.investing.com/pro/pricing?entry=cashflow-statement" xr:uid="{C619CB79-7653-4C30-9742-627847C8C462}"/>
    <hyperlink ref="C4" r:id="rId6" display="https://www.investing.com/pro/pricing?entry=cashflow-statement" xr:uid="{21814788-8D64-4AE7-9AD0-BD1D472505DC}"/>
    <hyperlink ref="D4" r:id="rId7" display="https://www.investing.com/pro/pricing?entry=cashflow-statement" xr:uid="{91B65B8D-9DE1-4492-BD0F-E801D64B6AAE}"/>
    <hyperlink ref="E4" r:id="rId8" display="https://www.investing.com/pro/pricing?entry=cashflow-statement" xr:uid="{1AC4ED9A-3E40-490C-8CE3-06D711A0EF3E}"/>
    <hyperlink ref="F4" r:id="rId9" display="https://www.investing.com/pro/pricing?entry=cashflow-statement" xr:uid="{DB4FCF41-DB69-45AF-B5E4-E12FBAEAEE7B}"/>
    <hyperlink ref="G4" r:id="rId10" display="https://www.investing.com/pro/pricing?entry=cashflow-statement" xr:uid="{7B6A217A-7B9A-472A-9ABE-6CF00C1961FE}"/>
    <hyperlink ref="C5" r:id="rId11" display="https://www.investing.com/pro/pricing?entry=cashflow-statement" xr:uid="{63CAAA24-4150-4415-8C6E-DA79D92FD578}"/>
    <hyperlink ref="D5" r:id="rId12" display="https://www.investing.com/pro/pricing?entry=cashflow-statement" xr:uid="{12342AC2-E616-4C3A-A106-81399CFFD027}"/>
    <hyperlink ref="E5" r:id="rId13" display="https://www.investing.com/pro/pricing?entry=cashflow-statement" xr:uid="{3D446677-DC51-4498-83FE-4EA63B6EBBAE}"/>
    <hyperlink ref="F5" r:id="rId14" display="https://www.investing.com/pro/pricing?entry=cashflow-statement" xr:uid="{D9B301E1-FCCB-4B2C-B13D-54B7602CAF05}"/>
    <hyperlink ref="G5" r:id="rId15" display="https://www.investing.com/pro/pricing?entry=cashflow-statement" xr:uid="{119C29DE-BD04-4931-936D-C66F58BEAF68}"/>
    <hyperlink ref="C6" r:id="rId16" display="https://www.investing.com/pro/pricing?entry=cashflow-statement" xr:uid="{2F71CBDB-DB18-4362-9A0E-87A945DA39EC}"/>
    <hyperlink ref="D6" r:id="rId17" display="https://www.investing.com/pro/pricing?entry=cashflow-statement" xr:uid="{3874FB5F-D6F6-4AEC-9DE8-34D961A8338F}"/>
    <hyperlink ref="E6" r:id="rId18" display="https://www.investing.com/pro/pricing?entry=cashflow-statement" xr:uid="{459572A1-B266-4768-9EA1-B27E12A1060B}"/>
    <hyperlink ref="F6" r:id="rId19" display="https://www.investing.com/pro/pricing?entry=cashflow-statement" xr:uid="{FB80B263-80BC-440A-82CD-2360AD4449E5}"/>
    <hyperlink ref="G6" r:id="rId20" display="https://www.investing.com/pro/pricing?entry=cashflow-statement" xr:uid="{807E398D-FD8F-431A-9BB4-40FE47C52BB3}"/>
    <hyperlink ref="C7" r:id="rId21" display="https://www.investing.com/pro/pricing?entry=cashflow-statement" xr:uid="{638404D1-3897-4340-9CE4-2D023E93237E}"/>
    <hyperlink ref="D7" r:id="rId22" display="https://www.investing.com/pro/pricing?entry=cashflow-statement" xr:uid="{465396DC-C7B8-4B62-A9DB-2390F51A1302}"/>
    <hyperlink ref="E7" r:id="rId23" display="https://www.investing.com/pro/pricing?entry=cashflow-statement" xr:uid="{065175D2-4746-4130-967F-140B3604F18D}"/>
    <hyperlink ref="F7" r:id="rId24" display="https://www.investing.com/pro/pricing?entry=cashflow-statement" xr:uid="{00EC1515-C03E-4F98-99D9-3C731D155CCA}"/>
    <hyperlink ref="G7" r:id="rId25" display="https://www.investing.com/pro/pricing?entry=cashflow-statement" xr:uid="{DFA223AF-16E8-4952-81A1-CCFC3D278D51}"/>
    <hyperlink ref="C8" r:id="rId26" display="https://www.investing.com/pro/pricing?entry=cashflow-statement" xr:uid="{533E6278-1094-4911-8993-C20570168A15}"/>
    <hyperlink ref="D8" r:id="rId27" display="https://www.investing.com/pro/pricing?entry=cashflow-statement" xr:uid="{4385A4DB-6D8E-4B66-A1B3-629AA2988DAE}"/>
    <hyperlink ref="E8" r:id="rId28" display="https://www.investing.com/pro/pricing?entry=cashflow-statement" xr:uid="{3C553544-5030-4AD9-B282-213D1E00C0C2}"/>
    <hyperlink ref="F8" r:id="rId29" display="https://www.investing.com/pro/pricing?entry=cashflow-statement" xr:uid="{B856186A-FB80-4201-888C-B503D0F31A68}"/>
    <hyperlink ref="G8" r:id="rId30" display="https://www.investing.com/pro/pricing?entry=cashflow-statement" xr:uid="{D313BE85-59E8-4B77-895F-C8A6ECDA1CD7}"/>
    <hyperlink ref="C9" r:id="rId31" display="https://www.investing.com/pro/pricing?entry=cashflow-statement" xr:uid="{16C0AA52-4758-468A-9F15-EE62C2868B18}"/>
    <hyperlink ref="D9" r:id="rId32" display="https://www.investing.com/pro/pricing?entry=cashflow-statement" xr:uid="{A3C3007B-3957-4598-8E04-8C82A22F6C33}"/>
    <hyperlink ref="E9" r:id="rId33" display="https://www.investing.com/pro/pricing?entry=cashflow-statement" xr:uid="{4AE5A50C-9F3B-4C50-8A7B-8F28010AC9A8}"/>
    <hyperlink ref="F9" r:id="rId34" display="https://www.investing.com/pro/pricing?entry=cashflow-statement" xr:uid="{C546FAF4-0C1B-4974-9181-686BDE6A0361}"/>
    <hyperlink ref="G9" r:id="rId35" display="https://www.investing.com/pro/pricing?entry=cashflow-statement" xr:uid="{83174AA6-3E9B-448F-9C09-C68C033B1E1D}"/>
    <hyperlink ref="C10" r:id="rId36" display="https://www.investing.com/pro/pricing?entry=cashflow-statement" xr:uid="{4D27E92E-1F29-4863-A30D-727B2C305E0F}"/>
    <hyperlink ref="D10" r:id="rId37" display="https://www.investing.com/pro/pricing?entry=cashflow-statement" xr:uid="{BB2F82B3-D0CF-49D9-872A-C56FCD406409}"/>
    <hyperlink ref="E10" r:id="rId38" display="https://www.investing.com/pro/pricing?entry=cashflow-statement" xr:uid="{077EA1C3-EEB7-45A4-82D4-5E40E154A9AC}"/>
    <hyperlink ref="F10" r:id="rId39" display="https://www.investing.com/pro/pricing?entry=cashflow-statement" xr:uid="{FF229F88-62CE-455A-99A5-424D91F91D4A}"/>
    <hyperlink ref="G10" r:id="rId40" display="https://www.investing.com/pro/pricing?entry=cashflow-statement" xr:uid="{8736ACF4-147D-40D4-94C0-37CF66AD40BB}"/>
    <hyperlink ref="C11" r:id="rId41" display="https://www.investing.com/pro/pricing?entry=cashflow-statement" xr:uid="{B3C1F17F-6CD4-4502-BB7F-17D28FE18E71}"/>
    <hyperlink ref="D11" r:id="rId42" display="https://www.investing.com/pro/pricing?entry=cashflow-statement" xr:uid="{24C055FF-88D7-4B13-9F35-D2B2779D5A48}"/>
    <hyperlink ref="E11" r:id="rId43" display="https://www.investing.com/pro/pricing?entry=cashflow-statement" xr:uid="{73984498-7E84-4826-A130-0C8636312B88}"/>
    <hyperlink ref="F11" r:id="rId44" display="https://www.investing.com/pro/pricing?entry=cashflow-statement" xr:uid="{84FD4EB8-A182-4B5C-BF62-44AC6B438B54}"/>
    <hyperlink ref="G11" r:id="rId45" display="https://www.investing.com/pro/pricing?entry=cashflow-statement" xr:uid="{00AD3AE1-9304-4327-B1C1-85DEC1CB4C5A}"/>
    <hyperlink ref="C12" r:id="rId46" display="https://www.investing.com/pro/pricing?entry=cashflow-statement" xr:uid="{ED682974-F7E7-47DB-BF80-9399B0261C61}"/>
    <hyperlink ref="D12" r:id="rId47" display="https://www.investing.com/pro/pricing?entry=cashflow-statement" xr:uid="{17E09245-B661-4E05-8E9D-6612892B53CA}"/>
    <hyperlink ref="E12" r:id="rId48" display="https://www.investing.com/pro/pricing?entry=cashflow-statement" xr:uid="{458F08C1-AB76-4315-9412-9639FEC76ECD}"/>
    <hyperlink ref="F12" r:id="rId49" display="https://www.investing.com/pro/pricing?entry=cashflow-statement" xr:uid="{B4BBB5BC-E354-49EC-AE60-A0FD0FFE500E}"/>
    <hyperlink ref="G12" r:id="rId50" display="https://www.investing.com/pro/pricing?entry=cashflow-statement" xr:uid="{0AF95C0C-226F-4604-BF72-D73B447B1091}"/>
    <hyperlink ref="C13" r:id="rId51" display="https://www.investing.com/pro/pricing?entry=cashflow-statement" xr:uid="{BE74A05D-8533-4C8B-A1D5-198BC424A8D6}"/>
    <hyperlink ref="D13" r:id="rId52" display="https://www.investing.com/pro/pricing?entry=cashflow-statement" xr:uid="{AB64FFD0-91FF-42F3-A5EA-E8A7A0B47ED3}"/>
    <hyperlink ref="E13" r:id="rId53" display="https://www.investing.com/pro/pricing?entry=cashflow-statement" xr:uid="{C179D021-E83A-4C47-A893-B9E3C2E92666}"/>
    <hyperlink ref="F13" r:id="rId54" display="https://www.investing.com/pro/pricing?entry=cashflow-statement" xr:uid="{CF8ED691-2B01-4697-94BE-B9DAD170D78B}"/>
    <hyperlink ref="G13" r:id="rId55" display="https://www.investing.com/pro/pricing?entry=cashflow-statement" xr:uid="{EBF025BE-DEDF-4992-8BF4-A15994C61465}"/>
    <hyperlink ref="C14" r:id="rId56" display="https://www.investing.com/pro/pricing?entry=cashflow-statement" xr:uid="{32F77B64-3BF0-4E7E-A66F-7E7BC72D00E4}"/>
    <hyperlink ref="D14" r:id="rId57" display="https://www.investing.com/pro/pricing?entry=cashflow-statement" xr:uid="{CC90B517-9BFD-46BA-810A-3555A7850529}"/>
    <hyperlink ref="E14" r:id="rId58" display="https://www.investing.com/pro/pricing?entry=cashflow-statement" xr:uid="{377AFED1-C1C3-409D-9792-04F6A0089B84}"/>
    <hyperlink ref="F14" r:id="rId59" display="https://www.investing.com/pro/pricing?entry=cashflow-statement" xr:uid="{83D71595-3D8E-4948-AA35-448F60914C3B}"/>
    <hyperlink ref="G14" r:id="rId60" display="https://www.investing.com/pro/pricing?entry=cashflow-statement" xr:uid="{4F7EEB23-1CFA-4BFF-92A4-4DC5CE1DD42D}"/>
    <hyperlink ref="C15" r:id="rId61" display="https://www.investing.com/pro/pricing?entry=cashflow-statement" xr:uid="{C679AD1E-F876-4A81-BB56-ED94AACD3482}"/>
    <hyperlink ref="D15" r:id="rId62" display="https://www.investing.com/pro/pricing?entry=cashflow-statement" xr:uid="{5525DFC3-C9F0-4F0B-8298-E575515D4D54}"/>
    <hyperlink ref="E15" r:id="rId63" display="https://www.investing.com/pro/pricing?entry=cashflow-statement" xr:uid="{B2041C12-B62B-4AE8-843D-78E35EEFB879}"/>
    <hyperlink ref="F15" r:id="rId64" display="https://www.investing.com/pro/pricing?entry=cashflow-statement" xr:uid="{A47D676B-491E-4DFE-89DB-9F925F7B8A4F}"/>
    <hyperlink ref="G15" r:id="rId65" display="https://www.investing.com/pro/pricing?entry=cashflow-statement" xr:uid="{5852B08C-A00C-4B1A-8208-559E69086F73}"/>
    <hyperlink ref="C16" r:id="rId66" display="https://www.investing.com/pro/pricing?entry=cashflow-statement" xr:uid="{FC55D178-C98F-4261-B3DD-B18C59CC8A0A}"/>
    <hyperlink ref="D16" r:id="rId67" display="https://www.investing.com/pro/pricing?entry=cashflow-statement" xr:uid="{9A7341DA-1949-49D1-999E-5EA73B7FC7F0}"/>
    <hyperlink ref="E16" r:id="rId68" display="https://www.investing.com/pro/pricing?entry=cashflow-statement" xr:uid="{A45FBC5F-91BF-4E84-B9BF-5DEE06314FC7}"/>
    <hyperlink ref="F16" r:id="rId69" display="https://www.investing.com/pro/pricing?entry=cashflow-statement" xr:uid="{E720FCE5-B88A-46F7-BCDB-D40D78B2176B}"/>
    <hyperlink ref="G16" r:id="rId70" display="https://www.investing.com/pro/pricing?entry=cashflow-statement" xr:uid="{F3ACEE83-8B38-4982-8825-20D50DDCE52C}"/>
    <hyperlink ref="C17" r:id="rId71" display="https://www.investing.com/pro/pricing?entry=cashflow-statement" xr:uid="{FD350A91-8F1F-4285-BCB8-FEF318D1E6DD}"/>
    <hyperlink ref="D17" r:id="rId72" display="https://www.investing.com/pro/pricing?entry=cashflow-statement" xr:uid="{71F934FC-8E26-460B-AB3A-833AE97B618F}"/>
    <hyperlink ref="E17" r:id="rId73" display="https://www.investing.com/pro/pricing?entry=cashflow-statement" xr:uid="{E192661E-D9A3-4E5A-AAD6-5D7812EF5112}"/>
    <hyperlink ref="F17" r:id="rId74" display="https://www.investing.com/pro/pricing?entry=cashflow-statement" xr:uid="{133E7D11-6C21-4779-85C9-D794FB8D02C3}"/>
    <hyperlink ref="G17" r:id="rId75" display="https://www.investing.com/pro/pricing?entry=cashflow-statement" xr:uid="{81947F4B-CF4A-4E79-AA0B-9D70C3C91C8E}"/>
    <hyperlink ref="C18" r:id="rId76" display="https://www.investing.com/pro/pricing?entry=cashflow-statement" xr:uid="{0315AD4B-650F-4B8E-B74A-FA7288F28B31}"/>
    <hyperlink ref="D18" r:id="rId77" display="https://www.investing.com/pro/pricing?entry=cashflow-statement" xr:uid="{D61915F6-E0E6-496A-B2B4-BA93B2AE2DD9}"/>
    <hyperlink ref="E18" r:id="rId78" display="https://www.investing.com/pro/pricing?entry=cashflow-statement" xr:uid="{3F56C7AA-C7C7-4F9F-9AD7-6655E0D03050}"/>
    <hyperlink ref="F18" r:id="rId79" display="https://www.investing.com/pro/pricing?entry=cashflow-statement" xr:uid="{96B3B5DC-8779-4EA2-9A74-9981398E80EB}"/>
    <hyperlink ref="G18" r:id="rId80" display="https://www.investing.com/pro/pricing?entry=cashflow-statement" xr:uid="{E54E5F8A-44A2-48F3-938A-92755A829654}"/>
    <hyperlink ref="C19" r:id="rId81" display="https://www.investing.com/pro/pricing?entry=cashflow-statement" xr:uid="{74B0F42B-1309-4C6F-A346-5B34BB851683}"/>
    <hyperlink ref="D19" r:id="rId82" display="https://www.investing.com/pro/pricing?entry=cashflow-statement" xr:uid="{322E61C2-2514-47F9-B6A7-AD1448F909C5}"/>
    <hyperlink ref="E19" r:id="rId83" display="https://www.investing.com/pro/pricing?entry=cashflow-statement" xr:uid="{76B34025-696B-428F-8FBE-C0085EF9A9D5}"/>
    <hyperlink ref="F19" r:id="rId84" display="https://www.investing.com/pro/pricing?entry=cashflow-statement" xr:uid="{2CCC2347-ACFE-47D7-AE61-EE0689810EDD}"/>
    <hyperlink ref="G19" r:id="rId85" display="https://www.investing.com/pro/pricing?entry=cashflow-statement" xr:uid="{0D997F6B-8FA9-4CB3-9822-EE1D217192D3}"/>
    <hyperlink ref="C20" r:id="rId86" display="https://www.investing.com/pro/pricing?entry=cashflow-statement" xr:uid="{AC302990-B660-4A19-ABC7-E757D8DF552C}"/>
    <hyperlink ref="D20" r:id="rId87" display="https://www.investing.com/pro/pricing?entry=cashflow-statement" xr:uid="{D587AB7B-3312-4512-A6CE-79ABA786C9DC}"/>
    <hyperlink ref="E20" r:id="rId88" display="https://www.investing.com/pro/pricing?entry=cashflow-statement" xr:uid="{ABDD9F6F-6C7C-4B71-8F02-AE7648CE1135}"/>
    <hyperlink ref="F20" r:id="rId89" display="https://www.investing.com/pro/pricing?entry=cashflow-statement" xr:uid="{7683A849-4774-4ABD-B214-4A9480AEAC10}"/>
    <hyperlink ref="G20" r:id="rId90" display="https://www.investing.com/pro/pricing?entry=cashflow-statement" xr:uid="{B7533049-9C93-4945-9F74-74F4F79A7481}"/>
    <hyperlink ref="C21" r:id="rId91" display="https://www.investing.com/pro/pricing?entry=cashflow-statement" xr:uid="{E3C676C1-CC3B-473C-8D49-41FEB08941D1}"/>
    <hyperlink ref="D21" r:id="rId92" display="https://www.investing.com/pro/pricing?entry=cashflow-statement" xr:uid="{B71EB508-83FB-48F3-B119-74A6152B9D18}"/>
    <hyperlink ref="E21" r:id="rId93" display="https://www.investing.com/pro/pricing?entry=cashflow-statement" xr:uid="{30CE4D70-FE64-47D2-816C-F35178D3D003}"/>
    <hyperlink ref="F21" r:id="rId94" display="https://www.investing.com/pro/pricing?entry=cashflow-statement" xr:uid="{8CEE00B4-42E8-48AE-8D24-63E984D024B3}"/>
    <hyperlink ref="G21" r:id="rId95" display="https://www.investing.com/pro/pricing?entry=cashflow-statement" xr:uid="{CFC7CA11-F23B-40ED-BB4E-146B93B0A5CA}"/>
    <hyperlink ref="C22" r:id="rId96" display="https://www.investing.com/pro/pricing?entry=cashflow-statement" xr:uid="{0F8BB7E6-6EAC-4837-B155-B5B821AFDF73}"/>
    <hyperlink ref="D22" r:id="rId97" display="https://www.investing.com/pro/pricing?entry=cashflow-statement" xr:uid="{FC85BC8D-D774-4199-8888-AA0094A602E6}"/>
    <hyperlink ref="E22" r:id="rId98" display="https://www.investing.com/pro/pricing?entry=cashflow-statement" xr:uid="{1417D9E4-0B39-4FF4-8DB5-D1F40DA4BB54}"/>
    <hyperlink ref="F22" r:id="rId99" display="https://www.investing.com/pro/pricing?entry=cashflow-statement" xr:uid="{E719FA8D-5C96-493D-8127-0D4539F74545}"/>
    <hyperlink ref="G22" r:id="rId100" display="https://www.investing.com/pro/pricing?entry=cashflow-statement" xr:uid="{7D5A024A-A5EF-4F09-9814-D58884CC7D17}"/>
    <hyperlink ref="C23" r:id="rId101" display="https://www.investing.com/pro/pricing?entry=cashflow-statement" xr:uid="{F8405F0C-A934-404E-8C5F-6D0AE356B444}"/>
    <hyperlink ref="D23" r:id="rId102" display="https://www.investing.com/pro/pricing?entry=cashflow-statement" xr:uid="{A8A3106D-F0CB-4F5D-A4D3-BF801CBA1732}"/>
    <hyperlink ref="E23" r:id="rId103" display="https://www.investing.com/pro/pricing?entry=cashflow-statement" xr:uid="{D374B706-87B4-4088-9441-0F7976D283CC}"/>
    <hyperlink ref="F23" r:id="rId104" display="https://www.investing.com/pro/pricing?entry=cashflow-statement" xr:uid="{D1565C7D-B246-4213-90F5-8F9AB5E82F83}"/>
    <hyperlink ref="G23" r:id="rId105" display="https://www.investing.com/pro/pricing?entry=cashflow-statement" xr:uid="{C340A538-0217-4F5C-9550-F96126ACDE13}"/>
    <hyperlink ref="C24" r:id="rId106" display="https://www.investing.com/pro/pricing?entry=cashflow-statement" xr:uid="{4AB9D904-3C60-4D1B-88BC-7A6B57477B66}"/>
    <hyperlink ref="D24" r:id="rId107" display="https://www.investing.com/pro/pricing?entry=cashflow-statement" xr:uid="{166EC557-C2AB-4B92-A2C8-7308728DCB2B}"/>
    <hyperlink ref="E24" r:id="rId108" display="https://www.investing.com/pro/pricing?entry=cashflow-statement" xr:uid="{AC0E3395-CC4F-462A-ABD4-26F5568D3933}"/>
    <hyperlink ref="F24" r:id="rId109" display="https://www.investing.com/pro/pricing?entry=cashflow-statement" xr:uid="{5DC72B60-ABDF-4D84-8EC1-82B2907ED914}"/>
    <hyperlink ref="G24" r:id="rId110" display="https://www.investing.com/pro/pricing?entry=cashflow-statement" xr:uid="{B6EBE4AB-9C2F-4F12-BE93-8E75023E9DFF}"/>
    <hyperlink ref="C25" r:id="rId111" display="https://www.investing.com/pro/pricing?entry=cashflow-statement" xr:uid="{BD2F44B6-D23D-4196-B6AE-3971224B3AEB}"/>
    <hyperlink ref="D25" r:id="rId112" display="https://www.investing.com/pro/pricing?entry=cashflow-statement" xr:uid="{545C04B2-2A4C-4ED6-B85D-7C9D44F85A9F}"/>
    <hyperlink ref="E25" r:id="rId113" display="https://www.investing.com/pro/pricing?entry=cashflow-statement" xr:uid="{41A150C5-5369-4C7C-82FF-389E91F7632D}"/>
    <hyperlink ref="F25" r:id="rId114" display="https://www.investing.com/pro/pricing?entry=cashflow-statement" xr:uid="{1AA6140D-AFD1-43FC-9449-03F694AF86CE}"/>
    <hyperlink ref="G25" r:id="rId115" display="https://www.investing.com/pro/pricing?entry=cashflow-statement" xr:uid="{04356ACD-2BF8-48E6-8DFE-95D298D96C45}"/>
    <hyperlink ref="C26" r:id="rId116" display="https://www.investing.com/pro/pricing?entry=cashflow-statement" xr:uid="{2637BA05-D618-45C0-BABB-70FAC132834A}"/>
    <hyperlink ref="D26" r:id="rId117" display="https://www.investing.com/pro/pricing?entry=cashflow-statement" xr:uid="{53AE1603-9F7B-4E21-A433-3EBB182D562B}"/>
    <hyperlink ref="E26" r:id="rId118" display="https://www.investing.com/pro/pricing?entry=cashflow-statement" xr:uid="{A2BBE80B-B07F-4F79-8FEC-EA73A268ADC0}"/>
    <hyperlink ref="F26" r:id="rId119" display="https://www.investing.com/pro/pricing?entry=cashflow-statement" xr:uid="{510589F6-3DA1-4C86-9B94-10C885E5D73F}"/>
    <hyperlink ref="G26" r:id="rId120" display="https://www.investing.com/pro/pricing?entry=cashflow-statement" xr:uid="{02B3AA42-A4E1-4FF0-B26C-CF147F6D954B}"/>
    <hyperlink ref="C27" r:id="rId121" display="https://www.investing.com/pro/pricing?entry=cashflow-statement" xr:uid="{EB30A343-225E-4BD5-993C-DAD619AC4139}"/>
    <hyperlink ref="D27" r:id="rId122" display="https://www.investing.com/pro/pricing?entry=cashflow-statement" xr:uid="{F1F45275-0ACB-402B-85C1-303A46169A6E}"/>
    <hyperlink ref="E27" r:id="rId123" display="https://www.investing.com/pro/pricing?entry=cashflow-statement" xr:uid="{3C70FCA5-43E3-4CCA-BA31-7EC0DD8E04FC}"/>
    <hyperlink ref="F27" r:id="rId124" display="https://www.investing.com/pro/pricing?entry=cashflow-statement" xr:uid="{5D2623CC-979E-485D-8BCA-C8769DAFF2D2}"/>
    <hyperlink ref="G27" r:id="rId125" display="https://www.investing.com/pro/pricing?entry=cashflow-statement" xr:uid="{B2438148-A092-4C59-9C4A-F492D8FA2608}"/>
    <hyperlink ref="C28" r:id="rId126" display="https://www.investing.com/pro/pricing?entry=cashflow-statement" xr:uid="{EEDC5C20-9ECA-43B3-9008-3F9437886371}"/>
    <hyperlink ref="D28" r:id="rId127" display="https://www.investing.com/pro/pricing?entry=cashflow-statement" xr:uid="{3EEE42F7-7C4A-4EAC-8449-F16630728176}"/>
    <hyperlink ref="E28" r:id="rId128" display="https://www.investing.com/pro/pricing?entry=cashflow-statement" xr:uid="{215A4338-A455-46C7-9044-A2C6920172CD}"/>
    <hyperlink ref="F28" r:id="rId129" display="https://www.investing.com/pro/pricing?entry=cashflow-statement" xr:uid="{58539CF7-F647-43D6-A900-8892CA979DB5}"/>
    <hyperlink ref="G28" r:id="rId130" display="https://www.investing.com/pro/pricing?entry=cashflow-statement" xr:uid="{71E872F0-9EC6-4968-9BC1-AE3E3DB47F29}"/>
    <hyperlink ref="C29" r:id="rId131" display="https://www.investing.com/pro/pricing?entry=cashflow-statement" xr:uid="{D3C85B26-73A7-4644-BED1-EDEAEB4751BB}"/>
    <hyperlink ref="D29" r:id="rId132" display="https://www.investing.com/pro/pricing?entry=cashflow-statement" xr:uid="{F3BB463E-D6E2-4657-802F-7A7BDEB1C3BD}"/>
    <hyperlink ref="E29" r:id="rId133" display="https://www.investing.com/pro/pricing?entry=cashflow-statement" xr:uid="{4A0D194C-3475-40F2-AA5A-756DEA156D09}"/>
    <hyperlink ref="F29" r:id="rId134" display="https://www.investing.com/pro/pricing?entry=cashflow-statement" xr:uid="{454D1954-B5BF-4E57-8BFE-A4CF8BEEDAE2}"/>
    <hyperlink ref="G29" r:id="rId135" display="https://www.investing.com/pro/pricing?entry=cashflow-statement" xr:uid="{7F5A0EF1-B17B-46B8-8400-144C0BDB316B}"/>
    <hyperlink ref="C30" r:id="rId136" display="https://www.investing.com/pro/pricing?entry=cashflow-statement" xr:uid="{58695BC2-BB90-4BE0-B747-BAAC5FDE2800}"/>
    <hyperlink ref="D30" r:id="rId137" display="https://www.investing.com/pro/pricing?entry=cashflow-statement" xr:uid="{1430A268-07A0-4B12-B769-E47752A2CDD2}"/>
    <hyperlink ref="E30" r:id="rId138" display="https://www.investing.com/pro/pricing?entry=cashflow-statement" xr:uid="{C45463C7-E0BA-4DB8-9165-A2866DE1148C}"/>
    <hyperlink ref="F30" r:id="rId139" display="https://www.investing.com/pro/pricing?entry=cashflow-statement" xr:uid="{64E58F59-2B37-44C8-8071-2EEEE5B6200A}"/>
    <hyperlink ref="G30" r:id="rId140" display="https://www.investing.com/pro/pricing?entry=cashflow-statement" xr:uid="{FFA0CF41-256D-4610-B849-ED67759D7CDF}"/>
    <hyperlink ref="C31" r:id="rId141" display="https://www.investing.com/pro/pricing?entry=cashflow-statement" xr:uid="{A94CEA4C-EC26-44A1-9D06-972C4C175E9E}"/>
    <hyperlink ref="D31" r:id="rId142" display="https://www.investing.com/pro/pricing?entry=cashflow-statement" xr:uid="{02E98446-78F3-4F65-A1A7-A3ABBDB9C232}"/>
    <hyperlink ref="E31" r:id="rId143" display="https://www.investing.com/pro/pricing?entry=cashflow-statement" xr:uid="{2B0F7E44-DB8E-47F9-9B41-D2ACD43C9A84}"/>
    <hyperlink ref="F31" r:id="rId144" display="https://www.investing.com/pro/pricing?entry=cashflow-statement" xr:uid="{372C593A-3B01-4A9D-995B-D16DE5C9FBF9}"/>
    <hyperlink ref="G31" r:id="rId145" display="https://www.investing.com/pro/pricing?entry=cashflow-statement" xr:uid="{7DD71B10-DA0F-4825-923A-054F9EA5F2BF}"/>
    <hyperlink ref="C32" r:id="rId146" display="https://www.investing.com/pro/pricing?entry=cashflow-statement" xr:uid="{8AE4207D-4B55-4A23-8F23-F289755B713C}"/>
    <hyperlink ref="D32" r:id="rId147" display="https://www.investing.com/pro/pricing?entry=cashflow-statement" xr:uid="{15227D91-94AB-4245-BD18-6F54DB7364BD}"/>
    <hyperlink ref="E32" r:id="rId148" display="https://www.investing.com/pro/pricing?entry=cashflow-statement" xr:uid="{759D8901-3C28-4624-98E3-30582973BDA6}"/>
    <hyperlink ref="F32" r:id="rId149" display="https://www.investing.com/pro/pricing?entry=cashflow-statement" xr:uid="{B51A2544-C91D-4C52-BF0D-A43525E9275D}"/>
    <hyperlink ref="G32" r:id="rId150" display="https://www.investing.com/pro/pricing?entry=cashflow-statement" xr:uid="{A3D179ED-8E2E-41AC-9069-0FF212364838}"/>
    <hyperlink ref="C33" r:id="rId151" display="https://www.investing.com/pro/pricing?entry=cashflow-statement" xr:uid="{9B0FEE1A-6681-432D-946C-2BFF9EBC26B2}"/>
    <hyperlink ref="D33" r:id="rId152" display="https://www.investing.com/pro/pricing?entry=cashflow-statement" xr:uid="{6E9CFB3F-E356-4638-A88E-2FF8296ED3B8}"/>
    <hyperlink ref="E33" r:id="rId153" display="https://www.investing.com/pro/pricing?entry=cashflow-statement" xr:uid="{234D5395-2378-4AB6-AA01-E49BBC53B306}"/>
    <hyperlink ref="F33" r:id="rId154" display="https://www.investing.com/pro/pricing?entry=cashflow-statement" xr:uid="{297DFC49-3102-4CDC-9134-B148C78BC8EF}"/>
    <hyperlink ref="G33" r:id="rId155" display="https://www.investing.com/pro/pricing?entry=cashflow-statement" xr:uid="{B32305D2-BBF8-4942-8490-CB4F41D461A3}"/>
    <hyperlink ref="C34" r:id="rId156" display="https://www.investing.com/pro/pricing?entry=cashflow-statement" xr:uid="{1934BE5C-B57E-4161-9909-146E9C8D3A80}"/>
    <hyperlink ref="D34" r:id="rId157" display="https://www.investing.com/pro/pricing?entry=cashflow-statement" xr:uid="{8DA4EFEA-FD73-44D1-A594-7EC641E13FD0}"/>
    <hyperlink ref="E34" r:id="rId158" display="https://www.investing.com/pro/pricing?entry=cashflow-statement" xr:uid="{16373850-E613-45F3-86F9-386FEDEC3E1D}"/>
    <hyperlink ref="F34" r:id="rId159" display="https://www.investing.com/pro/pricing?entry=cashflow-statement" xr:uid="{8947E3AF-4BD4-46C1-8322-BF9025E43EEB}"/>
    <hyperlink ref="G34" r:id="rId160" display="https://www.investing.com/pro/pricing?entry=cashflow-statement" xr:uid="{C746CEAE-285D-4590-B8BE-5296E02671AC}"/>
    <hyperlink ref="C35" r:id="rId161" display="https://www.investing.com/pro/pricing?entry=cashflow-statement" xr:uid="{3343D17C-6040-4CD9-9A6E-554AF1BD9F9A}"/>
    <hyperlink ref="D35" r:id="rId162" display="https://www.investing.com/pro/pricing?entry=cashflow-statement" xr:uid="{84A97D2F-D27F-44E7-A2F9-7884704E146B}"/>
    <hyperlink ref="E35" r:id="rId163" display="https://www.investing.com/pro/pricing?entry=cashflow-statement" xr:uid="{294E4FC7-B786-447D-96E1-0FFA5506633D}"/>
    <hyperlink ref="F35" r:id="rId164" display="https://www.investing.com/pro/pricing?entry=cashflow-statement" xr:uid="{7CC75037-6B21-4F33-B2B0-5C7C09CA5F66}"/>
    <hyperlink ref="G35" r:id="rId165" display="https://www.investing.com/pro/pricing?entry=cashflow-statement" xr:uid="{B9D45044-6DE9-4933-BEEA-60CC3E04E58E}"/>
    <hyperlink ref="C36" r:id="rId166" display="https://www.investing.com/pro/pricing?entry=cashflow-statement" xr:uid="{DB98F3B2-0E4B-4B7F-907B-55991428F85E}"/>
    <hyperlink ref="D36" r:id="rId167" display="https://www.investing.com/pro/pricing?entry=cashflow-statement" xr:uid="{FCC4EF1F-8C8A-4C57-9A89-4B86095FAAD9}"/>
    <hyperlink ref="E36" r:id="rId168" display="https://www.investing.com/pro/pricing?entry=cashflow-statement" xr:uid="{05A9C699-39BC-48F2-970D-579567C88B0D}"/>
    <hyperlink ref="F36" r:id="rId169" display="https://www.investing.com/pro/pricing?entry=cashflow-statement" xr:uid="{13857F3F-F9B2-4B7C-A18A-B262B53A3AE7}"/>
    <hyperlink ref="G36" r:id="rId170" display="https://www.investing.com/pro/pricing?entry=cashflow-statement" xr:uid="{84C947AA-3290-4E13-898D-EEA92DD277AA}"/>
    <hyperlink ref="C37" r:id="rId171" display="https://www.investing.com/pro/pricing?entry=cashflow-statement" xr:uid="{C6215FB6-9B5A-40E0-9CFE-A44A6D123099}"/>
    <hyperlink ref="D37" r:id="rId172" display="https://www.investing.com/pro/pricing?entry=cashflow-statement" xr:uid="{B0F637E3-CE51-4375-BB61-08EEFA224BC0}"/>
    <hyperlink ref="E37" r:id="rId173" display="https://www.investing.com/pro/pricing?entry=cashflow-statement" xr:uid="{ED33FC35-39BC-4F10-9025-0C3F56A153B1}"/>
    <hyperlink ref="F37" r:id="rId174" display="https://www.investing.com/pro/pricing?entry=cashflow-statement" xr:uid="{82F14576-4B9F-4C05-B3EE-89C2C3B4CAB6}"/>
    <hyperlink ref="G37" r:id="rId175" display="https://www.investing.com/pro/pricing?entry=cashflow-statement" xr:uid="{9B36631A-47A5-4B61-9831-FD0511499837}"/>
    <hyperlink ref="C38" r:id="rId176" display="https://www.investing.com/pro/pricing?entry=cashflow-statement" xr:uid="{28B6D9C9-2A81-4B10-993A-C6F6C41AA2F5}"/>
    <hyperlink ref="D38" r:id="rId177" display="https://www.investing.com/pro/pricing?entry=cashflow-statement" xr:uid="{FB172425-BC7A-4968-A26B-79C8BD4F55F0}"/>
    <hyperlink ref="E38" r:id="rId178" display="https://www.investing.com/pro/pricing?entry=cashflow-statement" xr:uid="{0599139A-796C-47BA-B6AF-61C7A651D7D8}"/>
    <hyperlink ref="F38" r:id="rId179" display="https://www.investing.com/pro/pricing?entry=cashflow-statement" xr:uid="{38CA9A9D-0206-4510-B194-A881283358DE}"/>
    <hyperlink ref="G38" r:id="rId180" display="https://www.investing.com/pro/pricing?entry=cashflow-statement" xr:uid="{1383CCA5-F804-4A3C-8FB1-F6636ACA6CCE}"/>
    <hyperlink ref="C39" r:id="rId181" display="https://www.investing.com/pro/pricing?entry=cashflow-statement" xr:uid="{637187AF-7150-4757-83D9-DDD6A54A9857}"/>
    <hyperlink ref="D39" r:id="rId182" display="https://www.investing.com/pro/pricing?entry=cashflow-statement" xr:uid="{2C7CCD8C-2C50-4C5E-ACB8-0C62E48081F2}"/>
    <hyperlink ref="E39" r:id="rId183" display="https://www.investing.com/pro/pricing?entry=cashflow-statement" xr:uid="{571A8789-D905-4375-8CF8-CDF8059592FF}"/>
    <hyperlink ref="F39" r:id="rId184" display="https://www.investing.com/pro/pricing?entry=cashflow-statement" xr:uid="{B548ACD5-B4A1-474A-A263-024E01E34447}"/>
    <hyperlink ref="G39" r:id="rId185" display="https://www.investing.com/pro/pricing?entry=cashflow-statement" xr:uid="{BD59F52B-26F3-4B35-99BF-04D43A9A41F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31EE-E537-4AAA-9386-CA16E9DF18DF}">
  <dimension ref="A1:G31"/>
  <sheetViews>
    <sheetView topLeftCell="A16" workbookViewId="0">
      <selection activeCell="B31" sqref="B31"/>
    </sheetView>
  </sheetViews>
  <sheetFormatPr defaultRowHeight="15"/>
  <cols>
    <col min="1" max="1" width="27.28515625" customWidth="1"/>
    <col min="2" max="2" width="14" customWidth="1"/>
    <col min="3" max="3" width="15.28515625" customWidth="1"/>
    <col min="4" max="4" width="18" customWidth="1"/>
    <col min="5" max="5" width="15.28515625" customWidth="1"/>
    <col min="6" max="6" width="15.85546875" customWidth="1"/>
  </cols>
  <sheetData>
    <row r="1" spans="1:7">
      <c r="A1" s="26" t="s">
        <v>149</v>
      </c>
      <c r="B1" s="26">
        <v>2021</v>
      </c>
      <c r="C1" s="26">
        <v>2022</v>
      </c>
      <c r="D1" s="26">
        <v>2023</v>
      </c>
      <c r="E1" s="26">
        <v>2024</v>
      </c>
      <c r="F1" s="26">
        <v>2025</v>
      </c>
    </row>
    <row r="2" spans="1:7">
      <c r="A2" t="s">
        <v>150</v>
      </c>
      <c r="B2">
        <f>'Sheet 2'!H3/'Sheet 2'!H33</f>
        <v>1.4188898449224321</v>
      </c>
      <c r="C2">
        <f>'Sheet 2'!I3/'Sheet 2'!I33</f>
        <v>1.3058349386335648</v>
      </c>
      <c r="D2">
        <f>'Sheet 2'!J3/'Sheet 2'!J33</f>
        <v>1.3710731042336521</v>
      </c>
      <c r="E2">
        <f>'Sheet 2'!K3/'Sheet 2'!K33</f>
        <v>1.2342005898499153</v>
      </c>
      <c r="F2">
        <f>'Sheet 2'!L3/'Sheet 2'!L33</f>
        <v>1.2147379152145186</v>
      </c>
    </row>
    <row r="3" spans="1:7">
      <c r="A3" t="s">
        <v>151</v>
      </c>
      <c r="B3">
        <f>('Sheet 2'!H3-'Sheet 2'!H10)/'Sheet 2'!H33</f>
        <v>1.3765303056204656</v>
      </c>
      <c r="C3">
        <f>('Sheet 2'!I3-'Sheet 2'!I10)/'Sheet 2'!I33</f>
        <v>1.2685588574753053</v>
      </c>
      <c r="D3">
        <f>('Sheet 2'!J3-'Sheet 2'!J10)/'Sheet 2'!J33</f>
        <v>1.3289373051063955</v>
      </c>
      <c r="E3">
        <f>('Sheet 2'!K3-'Sheet 2'!K10)/'Sheet 2'!K33</f>
        <v>1.1968215023635667</v>
      </c>
      <c r="F3">
        <f>('Sheet 2'!L3-'Sheet 2'!L10)/'Sheet 2'!L33</f>
        <v>1.1767594242536921</v>
      </c>
    </row>
    <row r="5" spans="1:7">
      <c r="A5" s="26" t="s">
        <v>152</v>
      </c>
      <c r="B5" s="26">
        <v>2021</v>
      </c>
      <c r="C5" s="26">
        <v>2022</v>
      </c>
      <c r="D5" s="26">
        <v>2023</v>
      </c>
      <c r="E5" s="26">
        <v>2024</v>
      </c>
      <c r="F5" s="26">
        <v>2025</v>
      </c>
      <c r="G5" s="26"/>
    </row>
    <row r="6" spans="1:7">
      <c r="A6" t="s">
        <v>153</v>
      </c>
      <c r="B6">
        <f>'Sheet 2'!H44/'Sheet 2'!H17</f>
        <v>0.7175474279533598</v>
      </c>
      <c r="C6">
        <f>'Sheet 2'!I44/'Sheet 2'!I17</f>
        <v>0.70201970685909632</v>
      </c>
      <c r="D6">
        <f>'Sheet 2'!J44/'Sheet 2'!J17</f>
        <v>0.68649463961671697</v>
      </c>
      <c r="E6">
        <f>'Sheet 2'!K44/'Sheet 2'!K17</f>
        <v>0.69850392476867407</v>
      </c>
      <c r="F6">
        <f>'Sheet 2'!L44/'Sheet 2'!L17</f>
        <v>0.69592529170084327</v>
      </c>
    </row>
    <row r="7" spans="1:7">
      <c r="A7" t="s">
        <v>154</v>
      </c>
      <c r="B7">
        <f>'Sheet 2'!H46/'Sheet 2'!H17</f>
        <v>0.26381938905151997</v>
      </c>
      <c r="C7">
        <f>'Sheet 2'!I46/'Sheet 2'!I17</f>
        <v>0.19251676616450969</v>
      </c>
      <c r="D7">
        <f>'Sheet 2'!J46/'Sheet 2'!J17</f>
        <v>0.18531028283107814</v>
      </c>
      <c r="E7">
        <f>'Sheet 2'!K46/'Sheet 2'!K17</f>
        <v>0.16613053303359829</v>
      </c>
      <c r="F7">
        <f>'Sheet 2'!L46/'Sheet 2'!L17</f>
        <v>0.15151433071048717</v>
      </c>
    </row>
    <row r="8" spans="1:7">
      <c r="A8" t="s">
        <v>155</v>
      </c>
      <c r="B8">
        <f>'Sheet 2'!H46/('Sheet 2'!H46+'Sheet 2'!H59)</f>
        <v>0.99659093736176585</v>
      </c>
      <c r="C8">
        <f>'Sheet 2'!I46/('Sheet 2'!I46+'Sheet 2'!I59)</f>
        <v>0.99546020860972306</v>
      </c>
      <c r="D8">
        <f>'Sheet 2'!J46/('Sheet 2'!J46+'Sheet 2'!J59)</f>
        <v>0.99542917761945848</v>
      </c>
      <c r="E8">
        <f>'Sheet 2'!K46/('Sheet 2'!K46+'Sheet 2'!K59)</f>
        <v>0.99515814018199455</v>
      </c>
      <c r="F8">
        <f>'Sheet 2'!L46/('Sheet 2'!L46+'Sheet 2'!L59)</f>
        <v>0.99523974192422837</v>
      </c>
    </row>
    <row r="9" spans="1:7">
      <c r="A9" t="s">
        <v>156</v>
      </c>
      <c r="B9">
        <f>'Sheet 2'!H68/'Sheet 2'!H53</f>
        <v>1.2154592478667554</v>
      </c>
      <c r="C9">
        <f>'Sheet 2'!I68/'Sheet 2'!I53</f>
        <v>0.99640771101224612</v>
      </c>
      <c r="D9">
        <f>'Sheet 2'!J68/'Sheet 2'!J53</f>
        <v>0.86662671837672189</v>
      </c>
      <c r="E9">
        <f>'Sheet 2'!K68/'Sheet 2'!K53</f>
        <v>0.86287901880903362</v>
      </c>
      <c r="F9">
        <f>'Sheet 2'!L68/'Sheet 2'!L53</f>
        <v>0.83660781008023311</v>
      </c>
    </row>
    <row r="10" spans="1:7">
      <c r="A10" t="s">
        <v>157</v>
      </c>
      <c r="B10">
        <f>'Sheet 2'!H46/'Sheet 2'!H59</f>
        <v>292.33576590367022</v>
      </c>
      <c r="C10">
        <f>'Sheet 2'!I46/'Sheet 2'!I59</f>
        <v>219.27443863207714</v>
      </c>
      <c r="D10">
        <f>'Sheet 2'!J46/'Sheet 2'!J59</f>
        <v>217.77901102810389</v>
      </c>
      <c r="E10">
        <f>'Sheet 2'!K46/'Sheet 2'!K59</f>
        <v>205.53220819845049</v>
      </c>
      <c r="F10">
        <f>'Sheet 2'!L46/'Sheet 2'!L59</f>
        <v>209.0726439790576</v>
      </c>
    </row>
    <row r="12" spans="1:7">
      <c r="A12" s="26" t="s">
        <v>158</v>
      </c>
      <c r="B12" s="26">
        <v>2021</v>
      </c>
      <c r="C12" s="26">
        <v>2022</v>
      </c>
      <c r="D12" s="26">
        <v>2023</v>
      </c>
      <c r="E12" s="26">
        <v>2024</v>
      </c>
      <c r="F12" s="26">
        <v>2025</v>
      </c>
    </row>
    <row r="13" spans="1:7">
      <c r="A13" t="s">
        <v>159</v>
      </c>
      <c r="B13">
        <f>'Sheet 1'!H86/'Sheet 1'!H30*-1</f>
        <v>4.1432768008523411</v>
      </c>
      <c r="C13">
        <f>'Sheet 1'!I86/'Sheet 1'!I30*-1</f>
        <v>5.7327830543755036</v>
      </c>
      <c r="D13">
        <f>'Sheet 1'!J86/'Sheet 1'!J30*-1</f>
        <v>6.3684449031998183</v>
      </c>
      <c r="E13">
        <f>'Sheet 1'!K86/'Sheet 1'!K30*-1</f>
        <v>6.7590562447158362</v>
      </c>
      <c r="F13">
        <f>'Sheet 1'!L86/'Sheet 1'!L30*-1</f>
        <v>7.9307592078875002</v>
      </c>
    </row>
    <row r="14" spans="1:7">
      <c r="A14" t="s">
        <v>160</v>
      </c>
      <c r="B14">
        <f>('Sheet 1'!H19+'Sheet 1'!H86)/'Sheet 1'!H26</f>
        <v>-4.1383210314147121</v>
      </c>
      <c r="C14">
        <f>('Sheet 1'!I19+'Sheet 1'!I86)/'Sheet 1'!I26</f>
        <v>-5.7261914892224315</v>
      </c>
      <c r="D14">
        <f>('Sheet 1'!J19+'Sheet 1'!J86)/'Sheet 1'!J26</f>
        <v>-6.3638944135344024</v>
      </c>
      <c r="E14">
        <f>('Sheet 1'!K19+'Sheet 1'!K86)/'Sheet 1'!K26</f>
        <v>-6.7566697110993612</v>
      </c>
      <c r="F14">
        <f>('Sheet 1'!L19+'Sheet 1'!L86)/'Sheet 1'!L26</f>
        <v>-7.9284444764683997</v>
      </c>
    </row>
    <row r="16" spans="1:7">
      <c r="A16" s="26" t="s">
        <v>161</v>
      </c>
      <c r="B16" s="26">
        <v>2021</v>
      </c>
      <c r="C16" s="26">
        <v>2022</v>
      </c>
      <c r="D16" s="26">
        <v>2023</v>
      </c>
      <c r="E16" s="26">
        <v>2024</v>
      </c>
      <c r="F16" s="26">
        <v>2025</v>
      </c>
    </row>
    <row r="17" spans="1:6">
      <c r="A17" t="s">
        <v>162</v>
      </c>
      <c r="B17">
        <f>'Sheet 1'!H7/'Sheet 2'!H10</f>
        <v>14.988045782693701</v>
      </c>
      <c r="C17">
        <f>'Sheet 1'!I7/'Sheet 2'!I10</f>
        <v>16.384927952726759</v>
      </c>
      <c r="D17">
        <f>'Sheet 1'!J7/'Sheet 2'!J10</f>
        <v>16.606279598991328</v>
      </c>
      <c r="E17">
        <f>'Sheet 1'!K7/'Sheet 2'!K10</f>
        <v>21.330896847371452</v>
      </c>
      <c r="F17">
        <f>'Sheet 1'!L7/'Sheet 2'!L10</f>
        <v>21.488566008956333</v>
      </c>
    </row>
    <row r="18" spans="1:6">
      <c r="A18" t="s">
        <v>163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</row>
    <row r="19" spans="1:6">
      <c r="A19" t="s">
        <v>164</v>
      </c>
      <c r="B19">
        <f>'Sheet 2'!H34/'Sheet 1'!H3</f>
        <v>0.32833133873675935</v>
      </c>
      <c r="C19">
        <f>'Sheet 2'!I34/'Sheet 1'!I3</f>
        <v>0.32356179886472219</v>
      </c>
      <c r="D19">
        <f>'Sheet 2'!J34/'Sheet 1'!J3</f>
        <v>0.26737762390246222</v>
      </c>
      <c r="E19">
        <f>'Sheet 2'!K34/'Sheet 1'!K3</f>
        <v>0.23665846185464043</v>
      </c>
      <c r="F19">
        <f>'Sheet 2'!L34/'Sheet 1'!L3</f>
        <v>0.20191711279067856</v>
      </c>
    </row>
    <row r="20" spans="1:6">
      <c r="A20" t="s">
        <v>165</v>
      </c>
      <c r="B20" s="27">
        <f>'Sheet 2'!H19</f>
        <v>137961.9</v>
      </c>
      <c r="C20" s="27">
        <f>'Sheet 2'!I19</f>
        <v>137378.1</v>
      </c>
      <c r="D20" s="27">
        <f>'Sheet 2'!J19</f>
        <v>164232.4</v>
      </c>
      <c r="E20" s="27">
        <f>'Sheet 2'!K19</f>
        <v>184840.9</v>
      </c>
      <c r="F20" s="27">
        <f>'Sheet 2'!L19</f>
        <v>193884.4</v>
      </c>
    </row>
    <row r="21" spans="1:6">
      <c r="A21" t="s">
        <v>166</v>
      </c>
      <c r="B21">
        <f>'Sheet 2'!H3/'Sheet 2'!H17</f>
        <v>0.62635174040236163</v>
      </c>
      <c r="C21">
        <f>'Sheet 2'!I3/'Sheet 2'!I17</f>
        <v>0.65049793912054232</v>
      </c>
      <c r="D21">
        <f>'Sheet 2'!J3/'Sheet 2'!J17</f>
        <v>0.67262832216914126</v>
      </c>
      <c r="E21">
        <f>'Sheet 2'!K3/'Sheet 2'!K17</f>
        <v>0.64265064350588963</v>
      </c>
      <c r="F21">
        <f>'Sheet 2'!L3/'Sheet 2'!L17</f>
        <v>0.64644566708675422</v>
      </c>
    </row>
    <row r="22" spans="1:6">
      <c r="A22" t="s">
        <v>167</v>
      </c>
      <c r="B22">
        <f>1/Sheet5!B17*360</f>
        <v>24.01914200286754</v>
      </c>
      <c r="C22">
        <f>1/Sheet5!C17*360</f>
        <v>21.971411838896078</v>
      </c>
      <c r="D22">
        <f>1/Sheet5!D17*360</f>
        <v>21.678546230298721</v>
      </c>
      <c r="E22">
        <f>1/Sheet5!E17*360</f>
        <v>16.87692751860838</v>
      </c>
      <c r="F22">
        <f>1/Sheet5!F17*360</f>
        <v>16.753095569520724</v>
      </c>
    </row>
    <row r="23" spans="1:6">
      <c r="A23" t="s">
        <v>168</v>
      </c>
      <c r="B23">
        <f>1/B19*360</f>
        <v>1096.4533613668573</v>
      </c>
      <c r="C23">
        <f t="shared" ref="C23:F23" si="0">1/C19*360</f>
        <v>1112.615893665841</v>
      </c>
      <c r="D23">
        <f t="shared" si="0"/>
        <v>1346.4103493242421</v>
      </c>
      <c r="E23">
        <f t="shared" si="0"/>
        <v>1521.1794971485872</v>
      </c>
      <c r="F23">
        <f t="shared" si="0"/>
        <v>1782.9098040501462</v>
      </c>
    </row>
    <row r="24" spans="1:6">
      <c r="A24" t="s">
        <v>169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</row>
    <row r="26" spans="1:6">
      <c r="A26" s="26" t="s">
        <v>170</v>
      </c>
      <c r="B26" s="26">
        <v>2021</v>
      </c>
      <c r="C26" s="26">
        <v>2022</v>
      </c>
      <c r="D26" s="26">
        <v>2023</v>
      </c>
      <c r="E26" s="26">
        <v>2024</v>
      </c>
      <c r="F26" s="26">
        <v>2025</v>
      </c>
    </row>
    <row r="27" spans="1:6">
      <c r="A27" t="s">
        <v>171</v>
      </c>
      <c r="B27" s="28">
        <f>'Sheet 1'!H13</f>
        <v>0.37390000000000001</v>
      </c>
      <c r="C27" s="28">
        <f>'Sheet 1'!I13</f>
        <v>0.3866</v>
      </c>
      <c r="D27" s="28">
        <f>'Sheet 1'!J13</f>
        <v>0.39100000000000001</v>
      </c>
      <c r="E27" s="28">
        <f>'Sheet 1'!K13</f>
        <v>0.37290000000000001</v>
      </c>
      <c r="F27" s="28">
        <f>'Sheet 1'!L13</f>
        <v>0.36559999999999998</v>
      </c>
    </row>
    <row r="28" spans="1:6">
      <c r="A28" t="s">
        <v>172</v>
      </c>
      <c r="B28">
        <f>'Sheet 1'!H20/'Sheet 1'!H3*100</f>
        <v>11.611286646136461</v>
      </c>
      <c r="C28">
        <f>'Sheet 1'!I20/'Sheet 1'!I3*100</f>
        <v>11.033698965616313</v>
      </c>
      <c r="D28">
        <f>'Sheet 1'!J20/'Sheet 1'!J3*100</f>
        <v>10.868704497737951</v>
      </c>
      <c r="E28">
        <f>'Sheet 1'!K20/'Sheet 1'!K3*100</f>
        <v>10.614848443522929</v>
      </c>
      <c r="F28">
        <f>'Sheet 1'!L20/'Sheet 1'!L3*100</f>
        <v>10.167609093097084</v>
      </c>
    </row>
    <row r="29" spans="1:6">
      <c r="A29" t="s">
        <v>173</v>
      </c>
      <c r="B29" s="28">
        <f>'Sheet 1'!H58</f>
        <v>8.3099999999999993E-2</v>
      </c>
      <c r="C29" s="28">
        <f>'Sheet 1'!I58</f>
        <v>5.4600000000000003E-2</v>
      </c>
      <c r="D29" s="28">
        <f>'Sheet 1'!J58</f>
        <v>5.62E-2</v>
      </c>
      <c r="E29" s="28">
        <f>'Sheet 1'!K58</f>
        <v>5.8000000000000003E-2</v>
      </c>
      <c r="F29" s="28">
        <f>'Sheet 1'!L58</f>
        <v>5.79E-2</v>
      </c>
    </row>
    <row r="30" spans="1:6">
      <c r="A30" t="s">
        <v>174</v>
      </c>
      <c r="B30" s="27">
        <f>'Sheet 2'!H17</f>
        <v>3112737.1</v>
      </c>
      <c r="C30" s="27">
        <f>'Sheet 2'!I17</f>
        <v>3200672.4</v>
      </c>
      <c r="D30" s="27">
        <f>'Sheet 2'!J17</f>
        <v>3303523.1</v>
      </c>
      <c r="E30" s="27">
        <f>'Sheet 2'!K17</f>
        <v>3401359.7</v>
      </c>
      <c r="F30" s="27">
        <f>'Sheet 2'!L17</f>
        <v>3795241</v>
      </c>
    </row>
    <row r="31" spans="1:6">
      <c r="A31" t="s">
        <v>175</v>
      </c>
      <c r="B31">
        <f>'Sheet 1'!H86/'Sheet 2'!H53</f>
        <v>0.1840034003616467</v>
      </c>
      <c r="C31">
        <f>'Sheet 1'!I86/'Sheet 2'!I53</f>
        <v>0.18365707202601805</v>
      </c>
      <c r="D31">
        <f>'Sheet 1'!J86/'Sheet 2'!J53</f>
        <v>0.19539850543444151</v>
      </c>
      <c r="E31">
        <f>'Sheet 1'!K86/'Sheet 2'!K53</f>
        <v>0.2330916553014413</v>
      </c>
      <c r="F31">
        <f>'Sheet 1'!L86/'Sheet 2'!L53</f>
        <v>0.22890162601400579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3090-AD38-41DA-B108-51171C0E695C}">
  <dimension ref="A1:J16"/>
  <sheetViews>
    <sheetView workbookViewId="0">
      <selection activeCell="A13" sqref="A13"/>
    </sheetView>
  </sheetViews>
  <sheetFormatPr defaultRowHeight="15"/>
  <cols>
    <col min="1" max="1" width="108.28515625" customWidth="1"/>
  </cols>
  <sheetData>
    <row r="1" spans="1:10" ht="20.25">
      <c r="A1" s="36" t="s">
        <v>176</v>
      </c>
    </row>
    <row r="2" spans="1:10">
      <c r="A2" s="34" t="s">
        <v>177</v>
      </c>
    </row>
    <row r="3" spans="1:10">
      <c r="A3" s="34" t="s">
        <v>178</v>
      </c>
    </row>
    <row r="4" spans="1:10">
      <c r="A4" s="34" t="s">
        <v>179</v>
      </c>
    </row>
    <row r="5" spans="1:10">
      <c r="A5" s="34" t="s">
        <v>180</v>
      </c>
    </row>
    <row r="6" spans="1:10">
      <c r="A6" s="34" t="s">
        <v>181</v>
      </c>
    </row>
    <row r="7" spans="1:10">
      <c r="A7" s="34" t="s">
        <v>182</v>
      </c>
    </row>
    <row r="8" spans="1:10">
      <c r="A8" s="34" t="s">
        <v>183</v>
      </c>
    </row>
    <row r="11" spans="1:10" ht="20.25">
      <c r="A11" s="37" t="s">
        <v>184</v>
      </c>
    </row>
    <row r="12" spans="1:10">
      <c r="A12" s="34" t="s">
        <v>185</v>
      </c>
      <c r="B12" s="34"/>
      <c r="C12" s="34"/>
      <c r="D12" s="34"/>
      <c r="E12" s="34"/>
      <c r="F12" s="34"/>
      <c r="G12" s="34"/>
      <c r="H12" s="34"/>
      <c r="I12" s="34"/>
      <c r="J12" s="34"/>
    </row>
    <row r="13" spans="1:10">
      <c r="A13" s="35" t="s">
        <v>186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>
      <c r="A14" s="35" t="s">
        <v>187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>
      <c r="A15" s="35" t="s">
        <v>188</v>
      </c>
      <c r="B15" s="34"/>
      <c r="C15" s="34"/>
      <c r="D15" s="34"/>
      <c r="E15" s="34"/>
      <c r="F15" s="34"/>
      <c r="G15" s="34"/>
      <c r="H15" s="34"/>
      <c r="I15" s="34"/>
      <c r="J15" s="34"/>
    </row>
    <row r="16" spans="1:10">
      <c r="A16" s="35" t="s">
        <v>189</v>
      </c>
      <c r="B16" s="34"/>
      <c r="C16" s="34"/>
      <c r="D16" s="34"/>
      <c r="E16" s="34"/>
      <c r="F16" s="34"/>
      <c r="G16" s="34"/>
      <c r="H16" s="34"/>
      <c r="I16" s="34"/>
      <c r="J16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8077-E4A1-4335-B619-289E39068BC5}">
  <dimension ref="B1:H36"/>
  <sheetViews>
    <sheetView tabSelected="1" workbookViewId="0">
      <selection activeCell="D21" sqref="D21"/>
    </sheetView>
  </sheetViews>
  <sheetFormatPr defaultRowHeight="15"/>
  <cols>
    <col min="2" max="2" width="23.42578125" customWidth="1"/>
    <col min="3" max="3" width="34.28515625" customWidth="1"/>
    <col min="4" max="4" width="15.28515625" customWidth="1"/>
    <col min="5" max="5" width="32" customWidth="1"/>
    <col min="6" max="6" width="22.28515625" customWidth="1"/>
    <col min="7" max="7" width="34.42578125" customWidth="1"/>
  </cols>
  <sheetData>
    <row r="1" spans="2:8" ht="20.25">
      <c r="B1" s="38" t="s">
        <v>190</v>
      </c>
      <c r="C1" s="38"/>
      <c r="D1" s="38"/>
      <c r="E1" s="38"/>
      <c r="F1" s="38"/>
      <c r="G1" s="38"/>
      <c r="H1" s="26"/>
    </row>
    <row r="2" spans="2:8" ht="20.25">
      <c r="B2" s="38" t="s">
        <v>191</v>
      </c>
      <c r="C2" s="38"/>
      <c r="D2" s="38"/>
      <c r="E2" s="38"/>
      <c r="F2" s="38"/>
      <c r="G2" s="38"/>
      <c r="H2" s="26"/>
    </row>
    <row r="3" spans="2:8" ht="20.25">
      <c r="B3" s="39" t="s">
        <v>192</v>
      </c>
      <c r="C3" s="39" t="s">
        <v>193</v>
      </c>
      <c r="D3" s="40" t="s">
        <v>194</v>
      </c>
      <c r="E3" s="39" t="s">
        <v>195</v>
      </c>
      <c r="F3" s="39" t="s">
        <v>196</v>
      </c>
      <c r="G3" s="39" t="s">
        <v>197</v>
      </c>
      <c r="H3" s="26"/>
    </row>
    <row r="4" spans="2:8" ht="20.25">
      <c r="B4" s="65">
        <v>2030</v>
      </c>
      <c r="C4" s="62"/>
      <c r="D4" s="62"/>
      <c r="E4" s="63"/>
      <c r="F4" s="64">
        <f>C5*(1+C27)/(C28-C27)</f>
        <v>647.18156988624014</v>
      </c>
      <c r="G4" s="63">
        <f>F4/(1+C28)^5</f>
        <v>169.68685608978728</v>
      </c>
      <c r="H4" s="26"/>
    </row>
    <row r="5" spans="2:8" ht="20.25">
      <c r="B5">
        <v>2030</v>
      </c>
      <c r="C5">
        <f t="shared" ref="C5:C8" si="0">C6+($C$27*C6)</f>
        <v>9.734046294511252</v>
      </c>
      <c r="D5">
        <f t="shared" ref="D5:D8" si="1">(C5-C6)/C6</f>
        <v>0.28763313126746298</v>
      </c>
      <c r="E5" s="41">
        <f>C5/((1+$C$28)^5)</f>
        <v>2.5522044965501665</v>
      </c>
      <c r="F5" s="43"/>
      <c r="G5" s="41"/>
    </row>
    <row r="6" spans="2:8" ht="20.25">
      <c r="B6">
        <v>2029</v>
      </c>
      <c r="C6">
        <f t="shared" si="0"/>
        <v>7.5596426172489712</v>
      </c>
      <c r="D6">
        <f t="shared" si="1"/>
        <v>0.28763313126746309</v>
      </c>
      <c r="E6" s="41">
        <f>C6/((1+$C$28)^4)</f>
        <v>2.5905913695367473</v>
      </c>
      <c r="F6" s="42"/>
      <c r="G6" s="42"/>
    </row>
    <row r="7" spans="2:8" ht="20.25">
      <c r="B7">
        <v>2028</v>
      </c>
      <c r="C7">
        <f t="shared" si="0"/>
        <v>5.8709600069141947</v>
      </c>
      <c r="D7">
        <f t="shared" si="1"/>
        <v>0.28763313126746309</v>
      </c>
      <c r="E7" s="41">
        <f>C7/((1+$C$28)^3)</f>
        <v>2.6295556069232737</v>
      </c>
      <c r="F7" s="42"/>
      <c r="G7" s="42"/>
    </row>
    <row r="8" spans="2:8" ht="20.25">
      <c r="B8">
        <v>2027</v>
      </c>
      <c r="C8">
        <f t="shared" si="0"/>
        <v>4.5594974720285428</v>
      </c>
      <c r="D8">
        <f t="shared" si="1"/>
        <v>0.2876331312674632</v>
      </c>
      <c r="E8" s="41">
        <f>C8/((1+$C$28)^2)</f>
        <v>2.6691058926588238</v>
      </c>
      <c r="F8" s="42"/>
      <c r="G8" s="42"/>
    </row>
    <row r="9" spans="2:8" ht="20.25">
      <c r="B9">
        <v>2026</v>
      </c>
      <c r="C9">
        <f>C10+($C$27*C10)</f>
        <v>3.5409911109855234</v>
      </c>
      <c r="D9">
        <f>(C9-C10)/C10</f>
        <v>0.28763313126746309</v>
      </c>
      <c r="E9" s="41">
        <f>C9/((1+$C$28)^1)</f>
        <v>2.7092510413049147</v>
      </c>
      <c r="F9" s="42"/>
      <c r="G9" s="42"/>
    </row>
    <row r="10" spans="2:8" ht="20.25">
      <c r="B10" s="45">
        <v>45804</v>
      </c>
      <c r="C10" s="46">
        <v>2.75</v>
      </c>
      <c r="D10" s="42">
        <f>(C10-C11)/C11</f>
        <v>0.1</v>
      </c>
      <c r="E10" s="41"/>
      <c r="F10" s="42"/>
      <c r="G10" s="42"/>
    </row>
    <row r="11" spans="2:8" ht="20.25">
      <c r="B11" s="45">
        <v>45461</v>
      </c>
      <c r="C11" s="47">
        <v>2.5</v>
      </c>
      <c r="D11" s="42">
        <f>(C11-C12)/C12</f>
        <v>0.25</v>
      </c>
      <c r="E11" s="42"/>
      <c r="F11" s="42"/>
      <c r="G11" s="42"/>
    </row>
    <row r="12" spans="2:8" ht="20.25">
      <c r="B12" s="45">
        <v>45128</v>
      </c>
      <c r="C12" s="47">
        <v>2</v>
      </c>
      <c r="D12" s="42">
        <f>(C12-C13)/C13</f>
        <v>3</v>
      </c>
      <c r="E12" s="42"/>
      <c r="F12" s="42"/>
      <c r="G12" s="42"/>
    </row>
    <row r="13" spans="2:8" ht="20.25">
      <c r="B13" s="45">
        <v>44743</v>
      </c>
      <c r="C13" s="47">
        <v>0.5</v>
      </c>
      <c r="D13" s="42">
        <f>(C13-C14)/C14</f>
        <v>-0.40270193751545513</v>
      </c>
      <c r="E13" s="42"/>
      <c r="F13" s="42"/>
      <c r="G13" s="42"/>
    </row>
    <row r="14" spans="2:8" ht="20.25">
      <c r="B14" s="45">
        <v>43916</v>
      </c>
      <c r="C14" s="47">
        <v>0.83710300000000004</v>
      </c>
      <c r="D14" s="42">
        <f>(C14-C15)/C15</f>
        <v>-9.9999569945189465E-2</v>
      </c>
      <c r="E14" s="42"/>
      <c r="F14" s="42"/>
      <c r="G14" s="42"/>
    </row>
    <row r="15" spans="2:8" ht="20.25">
      <c r="B15" s="45">
        <v>43665</v>
      </c>
      <c r="C15" s="47">
        <v>0.930114</v>
      </c>
      <c r="D15" s="42">
        <f>(C15-C16)/C16</f>
        <v>0</v>
      </c>
      <c r="E15" s="42"/>
      <c r="F15" s="42"/>
      <c r="G15" s="42"/>
    </row>
    <row r="16" spans="2:8" ht="20.25">
      <c r="B16" s="45">
        <v>43332</v>
      </c>
      <c r="C16" s="47">
        <v>0.930114</v>
      </c>
      <c r="D16" s="42">
        <f>(C16-C17)/C17</f>
        <v>0.2500003359804111</v>
      </c>
      <c r="E16" s="42"/>
      <c r="F16" s="42"/>
      <c r="G16" s="42"/>
    </row>
    <row r="17" spans="2:7" ht="20.25">
      <c r="B17" s="45">
        <v>42965</v>
      </c>
      <c r="C17" s="47">
        <v>0.74409099999999995</v>
      </c>
      <c r="D17" s="42">
        <f>(C17-C18)/C18</f>
        <v>0</v>
      </c>
      <c r="E17" s="42"/>
      <c r="F17" s="42"/>
      <c r="G17" s="42"/>
    </row>
    <row r="18" spans="2:7" ht="20.25">
      <c r="B18" s="45">
        <v>42594</v>
      </c>
      <c r="C18" s="47">
        <v>0.74409099999999995</v>
      </c>
      <c r="D18" s="42">
        <f>(C18-C19)/C19</f>
        <v>0</v>
      </c>
      <c r="E18" s="42"/>
      <c r="F18" s="42"/>
      <c r="G18" s="42"/>
    </row>
    <row r="19" spans="2:7" ht="20.25">
      <c r="B19" s="45">
        <v>42248</v>
      </c>
      <c r="C19" s="47">
        <v>0.74409099999999995</v>
      </c>
      <c r="D19" s="42">
        <f>(C19-C20)/C20</f>
        <v>6.6665615422327726E-2</v>
      </c>
      <c r="E19" s="42"/>
      <c r="F19" s="42"/>
      <c r="G19" s="42"/>
    </row>
    <row r="20" spans="2:7" ht="20.25">
      <c r="B20" s="45">
        <v>41838</v>
      </c>
      <c r="C20" s="47">
        <v>0.69758600000000004</v>
      </c>
      <c r="D20" s="42">
        <f>(C20-C21)/C21</f>
        <v>0</v>
      </c>
      <c r="E20" s="42"/>
      <c r="F20" s="42"/>
      <c r="G20" s="42"/>
    </row>
    <row r="21" spans="2:7" ht="20.25">
      <c r="B21" s="45">
        <v>41481</v>
      </c>
      <c r="C21" s="47">
        <v>0.69758600000000004</v>
      </c>
      <c r="D21" s="42"/>
      <c r="E21" s="44"/>
      <c r="F21" s="44"/>
      <c r="G21" s="44"/>
    </row>
    <row r="27" spans="2:7">
      <c r="B27" s="51" t="s">
        <v>198</v>
      </c>
      <c r="C27" s="52">
        <f>AVERAGE(D10:D20)</f>
        <v>0.28763313126746309</v>
      </c>
    </row>
    <row r="28" spans="2:7">
      <c r="B28" s="48" t="s">
        <v>199</v>
      </c>
      <c r="C28" s="56">
        <v>0.307</v>
      </c>
    </row>
    <row r="29" spans="2:7">
      <c r="B29" s="48"/>
      <c r="C29" s="49"/>
    </row>
    <row r="30" spans="2:7">
      <c r="B30" s="48" t="s">
        <v>200</v>
      </c>
      <c r="C30" s="49">
        <v>304.5</v>
      </c>
    </row>
    <row r="31" spans="2:7">
      <c r="B31" s="48"/>
      <c r="C31" s="49"/>
    </row>
    <row r="32" spans="2:7">
      <c r="B32" s="48" t="s">
        <v>201</v>
      </c>
      <c r="C32" s="53">
        <f>SUM(E5:E9)+G4</f>
        <v>182.83756449676122</v>
      </c>
    </row>
    <row r="33" spans="2:3">
      <c r="B33" s="48" t="s">
        <v>202</v>
      </c>
      <c r="C33" s="54" t="str">
        <f>IF(C32&gt;C30,"UNDERVALUED","OVERVALUED")</f>
        <v>OVERVALUED</v>
      </c>
    </row>
    <row r="34" spans="2:3">
      <c r="B34" s="48"/>
      <c r="C34" s="49"/>
    </row>
    <row r="35" spans="2:3">
      <c r="B35" s="48"/>
      <c r="C35" s="49"/>
    </row>
    <row r="36" spans="2:3">
      <c r="B36" s="55" t="s">
        <v>203</v>
      </c>
      <c r="C36" s="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E4EF9489483247AD152F702934E38A" ma:contentTypeVersion="1" ma:contentTypeDescription="Create a new document." ma:contentTypeScope="" ma:versionID="e45f6bcecd280e36f8aff33d9ab1c7a8">
  <xsd:schema xmlns:xsd="http://www.w3.org/2001/XMLSchema" xmlns:xs="http://www.w3.org/2001/XMLSchema" xmlns:p="http://schemas.microsoft.com/office/2006/metadata/properties" xmlns:ns3="cfcc9204-5bb2-433b-8568-6a03fd96aabd" targetNamespace="http://schemas.microsoft.com/office/2006/metadata/properties" ma:root="true" ma:fieldsID="304e2c65204e16712b16d09159257c9e" ns3:_="">
    <xsd:import namespace="cfcc9204-5bb2-433b-8568-6a03fd96aa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c9204-5bb2-433b-8568-6a03fd96aa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BBFFA9-7FB8-485F-8BF4-8B3D380FDBAC}"/>
</file>

<file path=customXml/itemProps2.xml><?xml version="1.0" encoding="utf-8"?>
<ds:datastoreItem xmlns:ds="http://schemas.openxmlformats.org/officeDocument/2006/customXml" ds:itemID="{80AE6ED4-8DA8-4495-B124-42F17E938213}"/>
</file>

<file path=customXml/itemProps3.xml><?xml version="1.0" encoding="utf-8"?>
<ds:datastoreItem xmlns:ds="http://schemas.openxmlformats.org/officeDocument/2006/customXml" ds:itemID="{58105B08-60F2-4E8D-9C80-574C23896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ARUNENDU BIKAS CHAKI - 251260250010 - MSCEMPL</dc:creator>
  <cp:keywords/>
  <dc:description/>
  <cp:lastModifiedBy>ARUNENDU BIKAS CHAKI - 251260250010 - MSCEMPL</cp:lastModifiedBy>
  <cp:revision/>
  <dcterms:created xsi:type="dcterms:W3CDTF">2025-09-18T04:17:38Z</dcterms:created>
  <dcterms:modified xsi:type="dcterms:W3CDTF">2025-11-09T09:05:52Z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0x010100B8E4EF9489483247AD152F702934E38A</vt:lpwstr>
  </property>
</Properties>
</file>